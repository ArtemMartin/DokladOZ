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>
    <mc:Choice Requires="x15">
      <x15ac:absPath xmlns:x15ac="http://schemas.microsoft.com/office/spreadsheetml/2010/11/ac" url="D:\1194\"/>
    </mc:Choice>
  </mc:AlternateContent>
  <bookViews>
    <workbookView xWindow="0" yWindow="0" windowWidth="28800" windowHeight="13485"/>
  </bookViews>
  <sheets>
    <sheet name="Журнал учёта" sheetId="1" r:id="rId1"/>
    <sheet name="БК пооррудийно" sheetId="2" r:id="rId2"/>
    <sheet name="Дижение Групп" sheetId="5" r:id="rId3"/>
    <sheet name="Лист1" sheetId="4" r:id="rId4"/>
    <sheet name="СкрытыеДанные" sheetId="8" state="veryHidden" r:id="rId5"/>
  </sheets>
  <calcPr calcId="152511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7" i="2" l="1"/>
  <c r="L17" i="2" l="1"/>
  <c r="L8" i="2" l="1"/>
  <c r="M3" i="2" l="1"/>
  <c r="E18" i="2" l="1"/>
  <c r="G18" i="2"/>
  <c r="F18" i="2"/>
  <c r="F20" i="2" s="1"/>
  <c r="D18" i="2"/>
  <c r="G12" i="2"/>
  <c r="F12" i="2"/>
  <c r="E12" i="2"/>
  <c r="G6" i="2"/>
  <c r="F6" i="2"/>
  <c r="E6" i="2"/>
  <c r="D12" i="2"/>
  <c r="D6" i="2"/>
  <c r="C18" i="2"/>
  <c r="C12" i="2"/>
  <c r="C6" i="2"/>
  <c r="D20" i="2" l="1"/>
  <c r="C20" i="2"/>
  <c r="G20" i="2"/>
  <c r="E20" i="2"/>
</calcChain>
</file>

<file path=xl/sharedStrings.xml><?xml version="1.0" encoding="utf-8"?>
<sst xmlns="http://schemas.openxmlformats.org/spreadsheetml/2006/main" count="4437" uniqueCount="693">
  <si>
    <t>№         п/п</t>
  </si>
  <si>
    <t>Время</t>
  </si>
  <si>
    <t>Номер цели</t>
  </si>
  <si>
    <t>Характер цели</t>
  </si>
  <si>
    <t>Координаты цели</t>
  </si>
  <si>
    <t>Кто выполнял задачу</t>
  </si>
  <si>
    <t>Результат</t>
  </si>
  <si>
    <t>Подавлена</t>
  </si>
  <si>
    <t>Уничтожена</t>
  </si>
  <si>
    <t>Примечания</t>
  </si>
  <si>
    <t>пехота</t>
  </si>
  <si>
    <t>7404-9</t>
  </si>
  <si>
    <t>2Б11 1МСБ Гризли</t>
  </si>
  <si>
    <t>Подана</t>
  </si>
  <si>
    <t>7408-9</t>
  </si>
  <si>
    <t>7404-8</t>
  </si>
  <si>
    <t>Д30 ГАДн Сабля</t>
  </si>
  <si>
    <t>Фиктивная</t>
  </si>
  <si>
    <t>7503-3</t>
  </si>
  <si>
    <t>Д30 ГАДн Моряк</t>
  </si>
  <si>
    <t>7603-9</t>
  </si>
  <si>
    <t>Д30 ГАДн Сом</t>
  </si>
  <si>
    <t>7503-8</t>
  </si>
  <si>
    <t>Д30 ГАДн Малой</t>
  </si>
  <si>
    <t>2Б11 2МСБ Барни</t>
  </si>
  <si>
    <t>7504-4</t>
  </si>
  <si>
    <t>РСЗО Партизан</t>
  </si>
  <si>
    <t>7505-6</t>
  </si>
  <si>
    <t>Д-30 ГАДн Сабля</t>
  </si>
  <si>
    <t>7604-7</t>
  </si>
  <si>
    <t>7603-5</t>
  </si>
  <si>
    <t>7603-7</t>
  </si>
  <si>
    <t>Д-30 ГАДн Малой</t>
  </si>
  <si>
    <t>Д-30 ГАДн Сом</t>
  </si>
  <si>
    <t>Д-30 ГАДн Моряк</t>
  </si>
  <si>
    <t>Не подана</t>
  </si>
  <si>
    <t>РСЗО 2МСБ Фаланга</t>
  </si>
  <si>
    <t>Д30 ГАДн Пифагор</t>
  </si>
  <si>
    <t>7504-7</t>
  </si>
  <si>
    <t>5375262   7404380</t>
  </si>
  <si>
    <t>5375558  7404898</t>
  </si>
  <si>
    <t>10\8</t>
  </si>
  <si>
    <t>тз бпла</t>
  </si>
  <si>
    <t>7404-1</t>
  </si>
  <si>
    <t>Расход: Д30 - 21\19; 2Б11 - 10; РСЗО - 2.</t>
  </si>
  <si>
    <t>7603-2</t>
  </si>
  <si>
    <t>3\2</t>
  </si>
  <si>
    <t>7602-7</t>
  </si>
  <si>
    <t>2-я Бат</t>
  </si>
  <si>
    <t>1-я Бат</t>
  </si>
  <si>
    <t>3-я Бат</t>
  </si>
  <si>
    <t>Полный</t>
  </si>
  <si>
    <t>Уменшеный</t>
  </si>
  <si>
    <t>Д4</t>
  </si>
  <si>
    <t>С4</t>
  </si>
  <si>
    <t>НЗ</t>
  </si>
  <si>
    <t>Примечание</t>
  </si>
  <si>
    <t>Итого</t>
  </si>
  <si>
    <t>5374407  7405098</t>
  </si>
  <si>
    <t>Г2150</t>
  </si>
  <si>
    <t>5375177  7405339</t>
  </si>
  <si>
    <t>5376215  7402816</t>
  </si>
  <si>
    <t>6\11</t>
  </si>
  <si>
    <t>Расход(заявлено\фактически)</t>
  </si>
  <si>
    <t>53-74666 74-03504</t>
  </si>
  <si>
    <t>Расход: Д30 - 37\36; 2Б11 - 8.</t>
  </si>
  <si>
    <t>ПУ НРТК</t>
  </si>
  <si>
    <t>7504-9</t>
  </si>
  <si>
    <t>точка связи</t>
  </si>
  <si>
    <t>антенна НСУ</t>
  </si>
  <si>
    <t>7505-7</t>
  </si>
  <si>
    <t>7105-9</t>
  </si>
  <si>
    <t>7505-7 75264/05141</t>
  </si>
  <si>
    <t>6\0</t>
  </si>
  <si>
    <t>Ярило1</t>
  </si>
  <si>
    <t>Ярило2</t>
  </si>
  <si>
    <t>Ярило3</t>
  </si>
  <si>
    <t>Ярило4</t>
  </si>
  <si>
    <t>Велес1</t>
  </si>
  <si>
    <t>Велес2</t>
  </si>
  <si>
    <t>Велес3</t>
  </si>
  <si>
    <t>Велес4</t>
  </si>
  <si>
    <t>Купала1</t>
  </si>
  <si>
    <t>Купала2</t>
  </si>
  <si>
    <t>Купала3</t>
  </si>
  <si>
    <t>Купала4</t>
  </si>
  <si>
    <t>0\10</t>
  </si>
  <si>
    <t>0\5</t>
  </si>
  <si>
    <t>3 Ум</t>
  </si>
  <si>
    <t>7602-5</t>
  </si>
  <si>
    <t>Д30 ГАДн Ярило1</t>
  </si>
  <si>
    <t>Д30 ГАДн Велес1</t>
  </si>
  <si>
    <t>5374788  7404496</t>
  </si>
  <si>
    <t>на завтра</t>
  </si>
  <si>
    <t>5376213  7402811</t>
  </si>
  <si>
    <t>0\9</t>
  </si>
  <si>
    <t>10\9</t>
  </si>
  <si>
    <t>укрытие</t>
  </si>
  <si>
    <t>53-76188 74-04190</t>
  </si>
  <si>
    <t>6\10</t>
  </si>
  <si>
    <t>5375761  7404920</t>
  </si>
  <si>
    <t>5\0</t>
  </si>
  <si>
    <t>Расход: Д30 - 32\49; 2Б11 - 12.</t>
  </si>
  <si>
    <t>Д30 ГАДн Ярило2</t>
  </si>
  <si>
    <t>7404-2</t>
  </si>
  <si>
    <t>Д30 ГАДн Велес 3</t>
  </si>
  <si>
    <t>Не подано</t>
  </si>
  <si>
    <t>жсп укрытие</t>
  </si>
  <si>
    <t>7405-1 74682 05132</t>
  </si>
  <si>
    <t>на вечер</t>
  </si>
  <si>
    <t>0/5 умен</t>
  </si>
  <si>
    <t>5376262  7403846</t>
  </si>
  <si>
    <t>5374789  7404495</t>
  </si>
  <si>
    <t>10\0</t>
  </si>
  <si>
    <t>0\2</t>
  </si>
  <si>
    <t>Расход: Д30 - 18\15; 2Б11 - 4.</t>
  </si>
  <si>
    <t>Фиктивно</t>
  </si>
  <si>
    <t>7404-5</t>
  </si>
  <si>
    <t>6\8</t>
  </si>
  <si>
    <t>0\6</t>
  </si>
  <si>
    <t>Расход: Д30 - 6\14; 2Б11 - 14.</t>
  </si>
  <si>
    <t>Д30 ГАДн Ярило 1</t>
  </si>
  <si>
    <t>2 ум</t>
  </si>
  <si>
    <t>Д30 ГАДн Купало 1</t>
  </si>
  <si>
    <t>3 ум</t>
  </si>
  <si>
    <t>7308-8</t>
  </si>
  <si>
    <t>Д30 ГАДн Купало2</t>
  </si>
  <si>
    <t>Расход: Д30 - 20\13; 2Б11 - 15.</t>
  </si>
  <si>
    <t>Д30 ГАДн Ярило 2</t>
  </si>
  <si>
    <t>Д30 ГАДн Купало 2</t>
  </si>
  <si>
    <t>7404-3</t>
  </si>
  <si>
    <t>2\1</t>
  </si>
  <si>
    <t>2\2</t>
  </si>
  <si>
    <t>2Б11 ГАДн Гризли</t>
  </si>
  <si>
    <t>7205-8</t>
  </si>
  <si>
    <t>2Б11 ГАДн Барни</t>
  </si>
  <si>
    <t>10\6</t>
  </si>
  <si>
    <t>2Б11 1МСБ Барни</t>
  </si>
  <si>
    <t>Расход: Д30 - 24\21; 2Б11 - 25.</t>
  </si>
  <si>
    <t>Д30 ГАДн Купала1</t>
  </si>
  <si>
    <t>7404-4</t>
  </si>
  <si>
    <t>ПУ БПЛА</t>
  </si>
  <si>
    <t xml:space="preserve">2Б11 1МСБ Гризли  </t>
  </si>
  <si>
    <t>3 вз-4</t>
  </si>
  <si>
    <t>4 вз-4</t>
  </si>
  <si>
    <t>2 вз-4</t>
  </si>
  <si>
    <t>Козерог 2МСБ Фаланга</t>
  </si>
  <si>
    <t>Партизан ГАДн Морфей</t>
  </si>
  <si>
    <t>Морфей</t>
  </si>
  <si>
    <t>М21ОФ</t>
  </si>
  <si>
    <t>7шт ВЗ-4</t>
  </si>
  <si>
    <t>антена</t>
  </si>
  <si>
    <t>5375991  7403979</t>
  </si>
  <si>
    <t>Д30 ГАДн Велес2</t>
  </si>
  <si>
    <t>10\12</t>
  </si>
  <si>
    <t>пвд</t>
  </si>
  <si>
    <t>5375168  7405096</t>
  </si>
  <si>
    <t>5374471  7404441</t>
  </si>
  <si>
    <t>0\12</t>
  </si>
  <si>
    <t>9шт ВЗ-4</t>
  </si>
  <si>
    <t>Расход: Д30 - 10\24; 2Б11(оф) - 13, (вз-4) - 18, Партизан - 14, Козерог - 4.</t>
  </si>
  <si>
    <t>грунт</t>
  </si>
  <si>
    <t>заряж</t>
  </si>
  <si>
    <t>2, ВЗ-4</t>
  </si>
  <si>
    <t>7603-4</t>
  </si>
  <si>
    <t>Расход: Д30 - 17\2; 2Б11(оф) - 1, (вз-4) - 2, Козерог - 2.</t>
  </si>
  <si>
    <t>Козерог 1МСБ Скорпион</t>
  </si>
  <si>
    <t>7404-6</t>
  </si>
  <si>
    <t>итого</t>
  </si>
  <si>
    <t>5, ВЗ-4</t>
  </si>
  <si>
    <t>Д30 ГАДн Купало1</t>
  </si>
  <si>
    <t>7005-8</t>
  </si>
  <si>
    <t>3\0, ВД-2</t>
  </si>
  <si>
    <t>Расход: Д30 - 5\5(оф), 5\0(вд-2); 2Б11 - 12(оф), 10(вз-4), Козерог - 2.</t>
  </si>
  <si>
    <t>2\0, ВД-2</t>
  </si>
  <si>
    <t>76256  03841</t>
  </si>
  <si>
    <t>75132  04620</t>
  </si>
  <si>
    <t>76008  03989</t>
  </si>
  <si>
    <t>76277  03845</t>
  </si>
  <si>
    <t>6, ВЗ-4</t>
  </si>
  <si>
    <t>5371039  7403291</t>
  </si>
  <si>
    <t>Задымление</t>
  </si>
  <si>
    <t>Расход: Д30 - 34\24(оф), 3\0(вд-2); 2Б11 - 12(оф), 8(вз-4), Козерог - 2.</t>
  </si>
  <si>
    <t>ПУ БпЛА</t>
  </si>
  <si>
    <t>4\2</t>
  </si>
  <si>
    <t>1788 В1183</t>
  </si>
  <si>
    <t>4;37</t>
  </si>
  <si>
    <t>7504-6</t>
  </si>
  <si>
    <t>7404-7</t>
  </si>
  <si>
    <t>5375955  7404210</t>
  </si>
  <si>
    <t>7004-9</t>
  </si>
  <si>
    <t>Д30 ГАДн Купала2</t>
  </si>
  <si>
    <t>Расход: Д30 - 4\10(оф), 4\0(вд-2); 2Б11 - 10(оф), 5(вз-4), Козерог - 4.</t>
  </si>
  <si>
    <t>4\0, ВД-2</t>
  </si>
  <si>
    <t>75467  04623</t>
  </si>
  <si>
    <t>Уничтожение</t>
  </si>
  <si>
    <t>7206-8</t>
  </si>
  <si>
    <t>4, ВЗ-4</t>
  </si>
  <si>
    <t>5375953  7404208</t>
  </si>
  <si>
    <t>5375498  7404607</t>
  </si>
  <si>
    <t>5374556  7404415</t>
  </si>
  <si>
    <t>0\7</t>
  </si>
  <si>
    <t>7206-6</t>
  </si>
  <si>
    <t>5375366  7405259</t>
  </si>
  <si>
    <t>8\3</t>
  </si>
  <si>
    <t>Расход: Д30 - 28\7(оф), 3\0(вд-2); 2Б11 - 23(оф), 4(вз-4), Козерог - 3.</t>
  </si>
  <si>
    <t>7504-8</t>
  </si>
  <si>
    <t>Подавлено</t>
  </si>
  <si>
    <t>Подано</t>
  </si>
  <si>
    <t>5\12</t>
  </si>
  <si>
    <t>7206-9</t>
  </si>
  <si>
    <t>7703-7</t>
  </si>
  <si>
    <t>7504-2</t>
  </si>
  <si>
    <t>7405-7</t>
  </si>
  <si>
    <t>10\13</t>
  </si>
  <si>
    <t>Расход: Д30 - 25\34(оф); 2Б11 - 8(оф); Партизан - 14, Козерог - 7.</t>
  </si>
  <si>
    <t>7602-3</t>
  </si>
  <si>
    <t>7503-5</t>
  </si>
  <si>
    <t>2Б11 1 МСБ Бурый</t>
  </si>
  <si>
    <t>10\14</t>
  </si>
  <si>
    <t>7604-8</t>
  </si>
  <si>
    <t>склад бк</t>
  </si>
  <si>
    <t>5376016  7404407</t>
  </si>
  <si>
    <t>8\4</t>
  </si>
  <si>
    <t>5376026  7404337</t>
  </si>
  <si>
    <t>10\21</t>
  </si>
  <si>
    <t>Расход: Д30 - 28\39(оф); 2Б11 - 9(оф); Козерог - 8.</t>
  </si>
  <si>
    <t>В1100</t>
  </si>
  <si>
    <t>7503-9</t>
  </si>
  <si>
    <t>6\13</t>
  </si>
  <si>
    <t>14\1</t>
  </si>
  <si>
    <t>7502-1</t>
  </si>
  <si>
    <t>склад гсм</t>
  </si>
  <si>
    <t>5376056  7404370</t>
  </si>
  <si>
    <t>8\0</t>
  </si>
  <si>
    <t>Расход: Д30 - 16\15(оф); 2Б11 - 9(оф); Партизан - 14\1; Козерог - 5.</t>
  </si>
  <si>
    <t>7\0</t>
  </si>
  <si>
    <t>7304-2</t>
  </si>
  <si>
    <t>2Б11 1МСБ Бурый</t>
  </si>
  <si>
    <t>5374783  7405219</t>
  </si>
  <si>
    <t>5370204  7403831</t>
  </si>
  <si>
    <t>Расход: Д30 - 27\17(оф), 4\0(ВД-2); 2Б11 - 14(оф); Козерог - 4.</t>
  </si>
  <si>
    <t>0\13</t>
  </si>
  <si>
    <t>подано</t>
  </si>
  <si>
    <t>7702-5</t>
  </si>
  <si>
    <t>5375041  7404806</t>
  </si>
  <si>
    <t>5376162  7404253</t>
  </si>
  <si>
    <t>5370175  7403357</t>
  </si>
  <si>
    <t>5375795  7402940</t>
  </si>
  <si>
    <t>10\11</t>
  </si>
  <si>
    <t>Расход: Д30 - 10\11(оф), 3(ВД-2); 2Б11 - 19(оф); Козерог - 3.</t>
  </si>
  <si>
    <t>Расход: Д30 - 23\29(оф); 2Б11 - 8(оф); Козерог - 2.</t>
  </si>
  <si>
    <t>пу бпла</t>
  </si>
  <si>
    <t>5376322  7403709</t>
  </si>
  <si>
    <t>Расход: Д30 - 10\12(оф); 2Б11 - 17(оф); Козерог - 4.</t>
  </si>
  <si>
    <t>7406-7</t>
  </si>
  <si>
    <t>В980</t>
  </si>
  <si>
    <t>7503-2</t>
  </si>
  <si>
    <t>не подано</t>
  </si>
  <si>
    <t>В1242</t>
  </si>
  <si>
    <t>0/3</t>
  </si>
  <si>
    <t>0/5</t>
  </si>
  <si>
    <t>склад МТЦ</t>
  </si>
  <si>
    <t>7502-9</t>
  </si>
  <si>
    <t>В1227</t>
  </si>
  <si>
    <t>7502-8</t>
  </si>
  <si>
    <t>В924</t>
  </si>
  <si>
    <t>склад ГСМ</t>
  </si>
  <si>
    <t>12\20</t>
  </si>
  <si>
    <t>Расход: Д30 - 40\56(оф); 2Б11 - 20(оф); Козерог - 8.</t>
  </si>
  <si>
    <t>В1310</t>
  </si>
  <si>
    <t>7403-2</t>
  </si>
  <si>
    <t>0/8</t>
  </si>
  <si>
    <t>на вечер совместно</t>
  </si>
  <si>
    <t>7503-1</t>
  </si>
  <si>
    <t>2Б11 "Бурый" (1МСБ)</t>
  </si>
  <si>
    <t>Д30 'Велес1' (ГАДн)</t>
  </si>
  <si>
    <t>0\18</t>
  </si>
  <si>
    <t>Расход: Д30 - 18\44(оф); 2Б11 - 16(оф); Козерог - 8.</t>
  </si>
  <si>
    <t>8/0</t>
  </si>
  <si>
    <t>подавлено</t>
  </si>
  <si>
    <t>В1275</t>
  </si>
  <si>
    <t>2Б11 'Бурый' (1МСБ)</t>
  </si>
  <si>
    <t>5377140  7402759</t>
  </si>
  <si>
    <t>уничтожена</t>
  </si>
  <si>
    <t>12\0</t>
  </si>
  <si>
    <t xml:space="preserve"> 2Б11 'Бурый' (1МСБ)</t>
  </si>
  <si>
    <t>8\11</t>
  </si>
  <si>
    <t>Д-30 'Велес1'(ГАДн)</t>
  </si>
  <si>
    <t>Д30 'Купало1' (ГАДн)</t>
  </si>
  <si>
    <t>Расход: Д30 - 36\18(оф); 2Б11 - 5(оф).</t>
  </si>
  <si>
    <t>7306-5</t>
  </si>
  <si>
    <t>7306-4</t>
  </si>
  <si>
    <t>Д30 'Купала2' (ГАДн)</t>
  </si>
  <si>
    <t>задымление</t>
  </si>
  <si>
    <t>Д30 'Ярило1' (ГАДн)</t>
  </si>
  <si>
    <t>8\6</t>
  </si>
  <si>
    <t>2Б11 'Бурый' (2МСБ)</t>
  </si>
  <si>
    <t>74574  04335</t>
  </si>
  <si>
    <t xml:space="preserve">Д-30 Ярило2 ГАДн </t>
  </si>
  <si>
    <t>10\16</t>
  </si>
  <si>
    <t>Расход: Д30 - 10\16(оф), ВД-2 - 16\10; 2Б11 - 8(оф).</t>
  </si>
  <si>
    <t>7505-8</t>
  </si>
  <si>
    <t>Д30 Купала2 ГАДн</t>
  </si>
  <si>
    <t>0\20</t>
  </si>
  <si>
    <t>уничтожение</t>
  </si>
  <si>
    <t>подавлена</t>
  </si>
  <si>
    <t>7403-8</t>
  </si>
  <si>
    <t>РСЗО "Козерог" 'Фаланга'</t>
  </si>
  <si>
    <t>7403-7</t>
  </si>
  <si>
    <t>2Б11 'Гризли' (1МСБ)</t>
  </si>
  <si>
    <t xml:space="preserve"> 2Б11 'Гризли' (1МСБ)</t>
  </si>
  <si>
    <t>В1370</t>
  </si>
  <si>
    <t>Д30 'Ярило2' (ГАДн)</t>
  </si>
  <si>
    <t>7306-2</t>
  </si>
  <si>
    <t>2Б11 'Барни' (2МСБ)</t>
  </si>
  <si>
    <t>8\20</t>
  </si>
  <si>
    <t>9\0</t>
  </si>
  <si>
    <t>скдад БК</t>
  </si>
  <si>
    <t>5374859  7404323</t>
  </si>
  <si>
    <t xml:space="preserve"> Д-30(поз. Ярило-2) ГАДн</t>
  </si>
  <si>
    <t>Расход: Д30 - 35\40(оф); 2Б11 - 27(оф); Партизан - 14; Козерог - 1.</t>
  </si>
  <si>
    <t>0/6</t>
  </si>
  <si>
    <t>неподано</t>
  </si>
  <si>
    <t>5374577  7403382</t>
  </si>
  <si>
    <t>Д-30(поз. Ярило-1)ГАДн</t>
  </si>
  <si>
    <t>74855  04187</t>
  </si>
  <si>
    <t>7\16</t>
  </si>
  <si>
    <t>74767  04175</t>
  </si>
  <si>
    <t>Д30 Велес1 ГАДн</t>
  </si>
  <si>
    <t>Д30 Велес2 ГАДн</t>
  </si>
  <si>
    <t>Расход: Д30 - 31\48(оф); 2Б11 - 13(оф); Партизан - 14.</t>
  </si>
  <si>
    <t>Д-30(поз. Ярило-2)ГАДн</t>
  </si>
  <si>
    <t>Д30 Ярило2 ГАДн</t>
  </si>
  <si>
    <t>9\8</t>
  </si>
  <si>
    <t>Расход: Д30 - 18\8(оф); 2Б11 - 19(оф).</t>
  </si>
  <si>
    <t>5375448  7404452</t>
  </si>
  <si>
    <t>ГАДн</t>
  </si>
  <si>
    <t>Расход: Д30 - 9\0(оф); 2Б11 - 14(оф).</t>
  </si>
  <si>
    <t>Д30 'Велес2' (ГАДн)</t>
  </si>
  <si>
    <t>8\24</t>
  </si>
  <si>
    <t>7502-5</t>
  </si>
  <si>
    <t>Д30 'Купала1' (ГАДн)</t>
  </si>
  <si>
    <t>0/13</t>
  </si>
  <si>
    <t>0/9</t>
  </si>
  <si>
    <t>5375767  7401698</t>
  </si>
  <si>
    <t>Расход: Д30 - 38\72(оф); 2Б11 - 10(оф).</t>
  </si>
  <si>
    <t>8\14</t>
  </si>
  <si>
    <t>8\15</t>
  </si>
  <si>
    <t>Д-30 ОП "Велес-1" ГАДн</t>
  </si>
  <si>
    <t>5376832  7402989</t>
  </si>
  <si>
    <t>5375871  7403440</t>
  </si>
  <si>
    <t>Д-30 ОП "Велес-2" ГАДн</t>
  </si>
  <si>
    <t>Расход: Д30 - 44\40(оф); 2Б11 - 16(оф).</t>
  </si>
  <si>
    <t>7602-1</t>
  </si>
  <si>
    <t>5\7</t>
  </si>
  <si>
    <t>подавдена</t>
  </si>
  <si>
    <t>подана</t>
  </si>
  <si>
    <t>1МСБ</t>
  </si>
  <si>
    <t>Гризли</t>
  </si>
  <si>
    <t>Бурый</t>
  </si>
  <si>
    <t>Скорпион(Козерог)</t>
  </si>
  <si>
    <t>ОФ</t>
  </si>
  <si>
    <t>касетные</t>
  </si>
  <si>
    <t>Пимечание</t>
  </si>
  <si>
    <t>2МСБ</t>
  </si>
  <si>
    <t>Барни</t>
  </si>
  <si>
    <t>Фаланга(Козерог)</t>
  </si>
  <si>
    <t>14/0</t>
  </si>
  <si>
    <t>В1485</t>
  </si>
  <si>
    <t>5375588   7403197</t>
  </si>
  <si>
    <t>0\4</t>
  </si>
  <si>
    <t>7602-6</t>
  </si>
  <si>
    <t>Д30 "Велес1" ГАДн</t>
  </si>
  <si>
    <t>0\3</t>
  </si>
  <si>
    <t>2Б11 'Ярило2' (1МСБ)</t>
  </si>
  <si>
    <t>В1570</t>
  </si>
  <si>
    <t>7103-3</t>
  </si>
  <si>
    <t>Расход: Д30 - 19\23(оф); 2Б11 - 21(оф); Партизан - 14\0.</t>
  </si>
  <si>
    <t>В1230</t>
  </si>
  <si>
    <t>Д30 'Ярило-1' (ГАДн)</t>
  </si>
  <si>
    <t>Д30 'Ярило-2' (ГАДн)</t>
  </si>
  <si>
    <t>0\14</t>
  </si>
  <si>
    <t>не подана</t>
  </si>
  <si>
    <t>5375487  7404391</t>
  </si>
  <si>
    <t>Д-30 ОП "Ярило-2" ГАДн</t>
  </si>
  <si>
    <t>7403-6</t>
  </si>
  <si>
    <t>7406-6</t>
  </si>
  <si>
    <t>дым завеса</t>
  </si>
  <si>
    <t>24\24</t>
  </si>
  <si>
    <t>7502, 7603, 7602</t>
  </si>
  <si>
    <t>0\40</t>
  </si>
  <si>
    <t>Расход: Д30 - 10\74(оф), ВД2 - 24; 2Б11 - 20(оф); Партизан - 14.</t>
  </si>
  <si>
    <t>ВД</t>
  </si>
  <si>
    <t>7603-6</t>
  </si>
  <si>
    <t>подавление</t>
  </si>
  <si>
    <t>8\9</t>
  </si>
  <si>
    <t>7402-4</t>
  </si>
  <si>
    <t>не прошло</t>
  </si>
  <si>
    <t xml:space="preserve"> Д30 'Велес2' (ГАДн)</t>
  </si>
  <si>
    <t>0\1</t>
  </si>
  <si>
    <t>Д30 'Бурый' (ГАДн)</t>
  </si>
  <si>
    <t>Расход: Д30 - 18\35(оф); 2Б11 - 6(оф); Партизан - 14\0.</t>
  </si>
  <si>
    <t>Расход: Д30 - 10\11(оф); 2Б11 - 7(оф); Партизан - 14.</t>
  </si>
  <si>
    <t>В751</t>
  </si>
  <si>
    <t>7602-8</t>
  </si>
  <si>
    <t xml:space="preserve"> Д30 'Купало2' (ГАДн)</t>
  </si>
  <si>
    <t>0\19</t>
  </si>
  <si>
    <t>изоляция</t>
  </si>
  <si>
    <t>7601-5</t>
  </si>
  <si>
    <t>7602-2</t>
  </si>
  <si>
    <t>7203-4</t>
  </si>
  <si>
    <t>7601-4</t>
  </si>
  <si>
    <t>Д-30 ОП "Купала-2" ГАДн</t>
  </si>
  <si>
    <t>Расход: Д30 - 32\48(оф); 2Б11 - 7(оф).</t>
  </si>
  <si>
    <t xml:space="preserve"> 8:16</t>
  </si>
  <si>
    <t>7503-7</t>
  </si>
  <si>
    <t>В747</t>
  </si>
  <si>
    <t>7601-9</t>
  </si>
  <si>
    <t xml:space="preserve"> Д30 'Велес1' (ГАДн)</t>
  </si>
  <si>
    <t>8:00-8:30</t>
  </si>
  <si>
    <t>нртк</t>
  </si>
  <si>
    <t>7204-1</t>
  </si>
  <si>
    <t>Расход: Д30 - 20\20(оф); 2Б11 - 7(оф).</t>
  </si>
  <si>
    <t>ГАДн (Д30) поз. "Купала2"</t>
  </si>
  <si>
    <t>подовление</t>
  </si>
  <si>
    <t>В1342</t>
  </si>
  <si>
    <t xml:space="preserve"> </t>
  </si>
  <si>
    <t>7103-9</t>
  </si>
  <si>
    <t>7504-3</t>
  </si>
  <si>
    <t>2Б11 'Барни' (1МСБ)</t>
  </si>
  <si>
    <t>Д-30 ОП "Ярило-1" ГАДн</t>
  </si>
  <si>
    <t>7702-2</t>
  </si>
  <si>
    <t>0\15</t>
  </si>
  <si>
    <t>7801-4</t>
  </si>
  <si>
    <t>Д30 'Купала 2' (ГАДн)</t>
  </si>
  <si>
    <t>Расход: Д30 - 23\51(оф); 2Б11 - 10(оф).</t>
  </si>
  <si>
    <t>B1445</t>
  </si>
  <si>
    <t>0\11</t>
  </si>
  <si>
    <t>0/1</t>
  </si>
  <si>
    <t>В934</t>
  </si>
  <si>
    <t>Велес ГАДн</t>
  </si>
  <si>
    <t>7103-4</t>
  </si>
  <si>
    <t>Бурый 1МСБ</t>
  </si>
  <si>
    <t>Д-30 ОП "Купало-2" ГАДн</t>
  </si>
  <si>
    <t>7403-9</t>
  </si>
  <si>
    <t>2Б11 'Ярило1' (1МСБ)</t>
  </si>
  <si>
    <t>Расход: Д30 - 25\44(оф); 2Б11 - 8(оф).</t>
  </si>
  <si>
    <t>РСЗО "Козерог" 'Гроза' (3МСБ)</t>
  </si>
  <si>
    <t>3МСБ</t>
  </si>
  <si>
    <t>Потап</t>
  </si>
  <si>
    <t>В1273</t>
  </si>
  <si>
    <t>Д-30 ОП "Ярило-1" 1 АБатр ГАДн</t>
  </si>
  <si>
    <t xml:space="preserve"> Д30 'Ярило2 1Б' (ГАДн)</t>
  </si>
  <si>
    <t>0\16</t>
  </si>
  <si>
    <t>Расход: Д30 - 12\20(оф); 2Б11 - 4(оф); Козерог - 4.</t>
  </si>
  <si>
    <t>Д30 'Ярило-1 1Б' (ГАДн).</t>
  </si>
  <si>
    <t>7604-9</t>
  </si>
  <si>
    <t>Д30 'Велес 2Б' (ГАДн).</t>
  </si>
  <si>
    <t>Д-30 ОП "Ярило-1"1 АБатр</t>
  </si>
  <si>
    <t xml:space="preserve"> 2Б11 'Барни' (2МСБ)</t>
  </si>
  <si>
    <t>Расход: Д30 - 22\12(оф); 2Б11 - 6(оф).</t>
  </si>
  <si>
    <t>Д30 'Купало1 3Б' (ГАДн)</t>
  </si>
  <si>
    <t>Расход: Д30 - 8\1(оф); 2Б11 - 6(оф); Партизан - 14.</t>
  </si>
  <si>
    <t>В796</t>
  </si>
  <si>
    <t>Д30 'Велес 1' (ГАДн).</t>
  </si>
  <si>
    <t>7\14</t>
  </si>
  <si>
    <t>7405-9</t>
  </si>
  <si>
    <t>7802-6</t>
  </si>
  <si>
    <t>Д30 'Купала2 3Б' (ГАДн)</t>
  </si>
  <si>
    <t>7603-1</t>
  </si>
  <si>
    <t>7702-9</t>
  </si>
  <si>
    <t>Козерог 'Гроза' (3МСБ)</t>
  </si>
  <si>
    <t>Д-30 ОП "Купало - 2" 3 АБатр ГАДн</t>
  </si>
  <si>
    <t>Д-30 "Купало - 2" 3 АБатр ГАДн</t>
  </si>
  <si>
    <t>В1143</t>
  </si>
  <si>
    <t>7503-4</t>
  </si>
  <si>
    <t>Д30 'Ярило2 1Б' (ГАДн)</t>
  </si>
  <si>
    <t>Д30 'Ярило1 1Б' (ГАДн)</t>
  </si>
  <si>
    <t>0\17</t>
  </si>
  <si>
    <t>5378615  7401735</t>
  </si>
  <si>
    <t>Купало - 2 3 АБатр ГАДн</t>
  </si>
  <si>
    <t>Расход: Д30 - 38\80(оф); 2Б11 - 4(оф); Козерог - 2.</t>
  </si>
  <si>
    <t>уничтожено</t>
  </si>
  <si>
    <t>7304-1</t>
  </si>
  <si>
    <t>2Б11 'Ярило1 1Б' (1МСБ)</t>
  </si>
  <si>
    <t>Д-30 ОП "Ярило - 2" 1 АБатр ГАДн</t>
  </si>
  <si>
    <t>Д30 Купало2 3Б ГАДн</t>
  </si>
  <si>
    <t>4\8</t>
  </si>
  <si>
    <t>подано\совм с 4БР</t>
  </si>
  <si>
    <t>Расход: Д30 - 24\30(оф).</t>
  </si>
  <si>
    <t>7603-8</t>
  </si>
  <si>
    <t>Д30 'Велес 2Б' (ГАДн)</t>
  </si>
  <si>
    <t>Козерог"Фаланга"(2МСБ)</t>
  </si>
  <si>
    <t>2Б11 'отап' (2МСБ)</t>
  </si>
  <si>
    <t>Д30 'Велес 2  2Б' (ГАДн)</t>
  </si>
  <si>
    <t>7/0</t>
  </si>
  <si>
    <t>2Б11 'Потап' (2МСБ)</t>
  </si>
  <si>
    <t>7402-5</t>
  </si>
  <si>
    <t>7802-7</t>
  </si>
  <si>
    <t>Д30 'Ярило' (ГАДн)</t>
  </si>
  <si>
    <t>Д30 'Велес' (ГАДн)</t>
  </si>
  <si>
    <t>В1449</t>
  </si>
  <si>
    <t xml:space="preserve"> Д-30 ОП "Велес-2" 2 АБатр ГАДн</t>
  </si>
  <si>
    <t>Расход: Д30 - 31\32(оф); 2Б11 - 6(оф); Козерог - 1.</t>
  </si>
  <si>
    <t>7\10</t>
  </si>
  <si>
    <t>Д-30 ОП "Велес-2" 2 АБатр ГАДн</t>
  </si>
  <si>
    <t>Расход: Д30 - 17\22(оф); 2Б11 - 2(оф).</t>
  </si>
  <si>
    <t>1МСБ Берлога</t>
  </si>
  <si>
    <t>2МСБ Берлин</t>
  </si>
  <si>
    <t>МСБ(А) Бостон</t>
  </si>
  <si>
    <t>Д-30 ОП "Ярило-1"1 АБатр ГАДн</t>
  </si>
  <si>
    <t>Свира(300), Монах</t>
  </si>
  <si>
    <t>Монах</t>
  </si>
  <si>
    <t>Водолей</t>
  </si>
  <si>
    <t>Вятич(300), Желтый(300)</t>
  </si>
  <si>
    <t>Расход: Д30 - 17\0(оф); 2Б11 - 7(оф).</t>
  </si>
  <si>
    <t>РСЗО "Козерог" 'Фаланга' (2МСБ)</t>
  </si>
  <si>
    <t>472 (Общага)</t>
  </si>
  <si>
    <t>513 (Сугроб)</t>
  </si>
  <si>
    <t>49 (Марафон)</t>
  </si>
  <si>
    <t>603 (Аквариум)</t>
  </si>
  <si>
    <t>511 (Мультик)</t>
  </si>
  <si>
    <t>520 (Левша)</t>
  </si>
  <si>
    <t>Терапевт</t>
  </si>
  <si>
    <t>Адрес ячейки</t>
  </si>
  <si>
    <t>Исходный цвет</t>
  </si>
  <si>
    <t>$B$13</t>
  </si>
  <si>
    <t>Д-30 ОП "Купало-2" 3 АБатр ГАДн</t>
  </si>
  <si>
    <t>Туман(300)</t>
  </si>
  <si>
    <t>Расход: Д30 - 18\32(оф); 2Б11 - 13(оф); Партизан - 14; Козерог - 1.</t>
  </si>
  <si>
    <t>14\0</t>
  </si>
  <si>
    <t>7403-3</t>
  </si>
  <si>
    <t>ГАДн(Д-30) с поз. "Купало-2"</t>
  </si>
  <si>
    <t>10\7</t>
  </si>
  <si>
    <t xml:space="preserve">ГАДн </t>
  </si>
  <si>
    <t>Д30 'Велес1' 2Б (ГАДн)</t>
  </si>
  <si>
    <t>3 ВЗ</t>
  </si>
  <si>
    <t>Расход: Д30 - 20\16(оф); 2Б11 - 13(оф); Партизан - 14\0.</t>
  </si>
  <si>
    <t>Д30 'Купала 1' (ГАДн)</t>
  </si>
  <si>
    <t>5\14</t>
  </si>
  <si>
    <t>7502-3</t>
  </si>
  <si>
    <t>ГАДн(Д-30) с поз. "Ярило-1"</t>
  </si>
  <si>
    <t>Д-30 ОП "Велес-1" 2 АБатр ГАДн</t>
  </si>
  <si>
    <t>10\15</t>
  </si>
  <si>
    <t>В1138</t>
  </si>
  <si>
    <t>Ярило</t>
  </si>
  <si>
    <t>В1021</t>
  </si>
  <si>
    <t>Велес</t>
  </si>
  <si>
    <t>Расход: Д30 - 25\47(оф); 2Б11 - 11(оф).</t>
  </si>
  <si>
    <t>7503, 7602, 7603, 7601, 7802</t>
  </si>
  <si>
    <t>дивизионом Д30 'Перун' (ГАДн)</t>
  </si>
  <si>
    <t>20\57</t>
  </si>
  <si>
    <t>7403-1</t>
  </si>
  <si>
    <t>РСЗО "Козерог" 'Скорпион' (1МСБ)</t>
  </si>
  <si>
    <t>В748</t>
  </si>
  <si>
    <t xml:space="preserve"> Д30 'Купала 2 ' (ГАДн)</t>
  </si>
  <si>
    <t>В834</t>
  </si>
  <si>
    <t xml:space="preserve"> Д30 ' Велес1 ' (ГАДн)</t>
  </si>
  <si>
    <t>0\8</t>
  </si>
  <si>
    <t>Д30 'Ярило-2' 1Б (ГАДн)</t>
  </si>
  <si>
    <t>7801-2</t>
  </si>
  <si>
    <t>Д30 'Ярило-1' 1Б (ГАДн)</t>
  </si>
  <si>
    <t>3\2 ВД-2</t>
  </si>
  <si>
    <t>Расход: Д30 - 36\69(оф), 9\6(ВД2); 2Б11 - 30(оф); Козерог - 3.</t>
  </si>
  <si>
    <t>476(Интер)</t>
  </si>
  <si>
    <t>7504-5</t>
  </si>
  <si>
    <t>7003-3</t>
  </si>
  <si>
    <t>2Б14 Панда (2МСБ)</t>
  </si>
  <si>
    <t>Расход: Д30 - 0\5(оф); 2Б11 - 0\14(оф).</t>
  </si>
  <si>
    <t>Шкипер(300), Кирпич</t>
  </si>
  <si>
    <t>Октябрь(300)н\с</t>
  </si>
  <si>
    <t>ГАДн(Д-30) с поз. "Велес2"</t>
  </si>
  <si>
    <t>0\28</t>
  </si>
  <si>
    <t>Расход: Д30 - 18\33(оф), ВД - 0\2; 2Б11 - 16(оф).</t>
  </si>
  <si>
    <t>7304-4</t>
  </si>
  <si>
    <t>7403-1,2</t>
  </si>
  <si>
    <t>2Б11 'Бурый Гризли' (1МСБ)</t>
  </si>
  <si>
    <t>7503-6</t>
  </si>
  <si>
    <t>Велес-1 2 АБатр ГАДн</t>
  </si>
  <si>
    <t>10\10</t>
  </si>
  <si>
    <t>Ярило-1 1 АБатр ГАДн</t>
  </si>
  <si>
    <t>склад мтс</t>
  </si>
  <si>
    <t>Расход: Д30 - 20\14(оф); 2Б11 - 61(оф).</t>
  </si>
  <si>
    <t>бт</t>
  </si>
  <si>
    <t>Д30 'Купала 2 3Б' (ГАДн)</t>
  </si>
  <si>
    <t>Д30 Ярило1 ГАДн</t>
  </si>
  <si>
    <t>2Б11 'Барни' (2МСБ</t>
  </si>
  <si>
    <t>Д30 'Велес2 2Б' (ГАДн)</t>
  </si>
  <si>
    <t>7\5</t>
  </si>
  <si>
    <t>Расход: Д30 - 18\22(оф); 2Б11 - 24(оф).</t>
  </si>
  <si>
    <t>0/7</t>
  </si>
  <si>
    <t>43(Хостел)</t>
  </si>
  <si>
    <t>Велес-2 2 АБатр ГАДн</t>
  </si>
  <si>
    <t>Купало2 ГАДн</t>
  </si>
  <si>
    <t>Расход: Д30 - 20\49(оф); 2Б11 - 60(оф).</t>
  </si>
  <si>
    <t>7402-3</t>
  </si>
  <si>
    <t>Ярило2 ГАДн</t>
  </si>
  <si>
    <t>7504-1</t>
  </si>
  <si>
    <t>7502-2</t>
  </si>
  <si>
    <t xml:space="preserve">Д-30(поз. Велес-2) </t>
  </si>
  <si>
    <t>Д-30(поз. Купала-2)</t>
  </si>
  <si>
    <t>Расход: Д30 - 25\39(оф); 2Б11 - 48(оф).</t>
  </si>
  <si>
    <t>5\10</t>
  </si>
  <si>
    <t>2Б11 'Велес 2Б' (ГАДн)</t>
  </si>
  <si>
    <t>Укр_449</t>
  </si>
  <si>
    <t>Ярило ГАДн</t>
  </si>
  <si>
    <t>Д-30(поз. Велес-1)</t>
  </si>
  <si>
    <t>Расход: Д30 - 25\41(оф); 2Б11 - 33(оф).</t>
  </si>
  <si>
    <t>7601-6</t>
  </si>
  <si>
    <t>Д30 'Ярило 1Б' (ГАДн)</t>
  </si>
  <si>
    <t>7402-1</t>
  </si>
  <si>
    <t>2Б11 'Ярило 1Б' (2МСБ)</t>
  </si>
  <si>
    <t>не в работе</t>
  </si>
  <si>
    <t xml:space="preserve"> Ленин(300)  , Фактура</t>
  </si>
  <si>
    <t>В1446</t>
  </si>
  <si>
    <t>Д30 'Ярило-1 1Б' (ГАДн)</t>
  </si>
  <si>
    <t>Д-30(поз. Велес-2)2 АБатр ГАДн</t>
  </si>
  <si>
    <t>Ярило1 ГАДн</t>
  </si>
  <si>
    <t>Д-30(поз. Купала-2)3 АБатр ГАДн</t>
  </si>
  <si>
    <t>Расход: Д30 - 27\23(оф); 2Б11 - 63(оф).</t>
  </si>
  <si>
    <t>Велес2 ГАДн</t>
  </si>
  <si>
    <t>жсп</t>
  </si>
  <si>
    <t>50(Сигнал)</t>
  </si>
  <si>
    <t>57(Грядка)</t>
  </si>
  <si>
    <t>2Б11 'Велес1 2Б' (ГАДн)</t>
  </si>
  <si>
    <t>5\9</t>
  </si>
  <si>
    <t>склад БК</t>
  </si>
  <si>
    <t>Расход: Д30 - 17\31(оф); 2Б11 - 63\53(оф).</t>
  </si>
  <si>
    <t>475(Зенит)</t>
  </si>
  <si>
    <t>Д30 'Перун' (ГАДн)</t>
  </si>
  <si>
    <t>10\22</t>
  </si>
  <si>
    <t>Сайтамо, Дунай(300)</t>
  </si>
  <si>
    <t>Расход: Д30 - 25\37(оф); 2Б11 - 62(оф).</t>
  </si>
  <si>
    <t>Д30 ' Велес1 2Б' (ГАДн)</t>
  </si>
  <si>
    <t>10\17</t>
  </si>
  <si>
    <t>Д30 'Ярило-2 1Б' (ГАДн)</t>
  </si>
  <si>
    <t>РСЗО "Партизан"(ГАДн)</t>
  </si>
  <si>
    <t>7401-1</t>
  </si>
  <si>
    <t>Д30 'Велес 1' (ГАДн)</t>
  </si>
  <si>
    <t>2Б11 'Гризли' (1МСБ</t>
  </si>
  <si>
    <t>Расход: Д30 - 27\57(оф); Партизан - 14; 2Б11 - 90(оф).</t>
  </si>
  <si>
    <t>Д30 'Купала 2  3Б' (ГАДн)</t>
  </si>
  <si>
    <t>2027 (Тормоз)</t>
  </si>
  <si>
    <t>Тихий(300), Доктор, Скорпион</t>
  </si>
  <si>
    <t>Рыба(300)</t>
  </si>
  <si>
    <t>антена связи</t>
  </si>
  <si>
    <t>Д-30 (поз. Купала-2)</t>
  </si>
  <si>
    <t>Расход: Д30 - 30\17(оф); 2Б11 - 63(оф).</t>
  </si>
  <si>
    <t>Арчикас, Охламон,Шмель</t>
  </si>
  <si>
    <t>Картуз(300)</t>
  </si>
  <si>
    <t xml:space="preserve"> Алгиз</t>
  </si>
  <si>
    <t>97 (Депо)</t>
  </si>
  <si>
    <t>Кришень(300)</t>
  </si>
  <si>
    <t>Миха(300)</t>
  </si>
  <si>
    <t>29</t>
  </si>
  <si>
    <t>14:32</t>
  </si>
  <si>
    <t>452</t>
  </si>
  <si>
    <t>(7403-1)</t>
  </si>
  <si>
    <t>1</t>
  </si>
  <si>
    <t>30</t>
  </si>
  <si>
    <t>15:39</t>
  </si>
  <si>
    <t>615</t>
  </si>
  <si>
    <t/>
  </si>
  <si>
    <t>(7304-1)</t>
  </si>
  <si>
    <t>15:42</t>
  </si>
  <si>
    <t>125</t>
  </si>
  <si>
    <t>(7602-6)</t>
  </si>
  <si>
    <t>Велес 2Б</t>
  </si>
  <si>
    <t>5</t>
  </si>
  <si>
    <t>Б11 'Бурый' (1МСБ)</t>
  </si>
  <si>
    <t>Расход: Д30 - 13(оф); 2Б11 - 81(оф).</t>
  </si>
  <si>
    <t>Д30 'Велес1 2Б' (ГАДн)</t>
  </si>
  <si>
    <t>454(ДПС)</t>
  </si>
  <si>
    <t>Моргун, Лян</t>
  </si>
  <si>
    <t>саха,дедлайнер</t>
  </si>
  <si>
    <t>крот</t>
  </si>
  <si>
    <t>Самбо</t>
  </si>
  <si>
    <t>Техас,шеф</t>
  </si>
  <si>
    <t>Купер(300)</t>
  </si>
  <si>
    <t>Джамбулат н\с</t>
  </si>
  <si>
    <t>Викси н\с</t>
  </si>
  <si>
    <t>Сарагул</t>
  </si>
  <si>
    <t>2Б11 'Бурый' (2МСБ</t>
  </si>
  <si>
    <t>16</t>
  </si>
  <si>
    <t>9:6</t>
  </si>
  <si>
    <t>476</t>
  </si>
  <si>
    <t>(7403-7)</t>
  </si>
  <si>
    <t>3</t>
  </si>
  <si>
    <t>17</t>
  </si>
  <si>
    <t>9:18</t>
  </si>
  <si>
    <t>132</t>
  </si>
  <si>
    <t>Гризли 1МСБ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</si>
</sst>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26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4"/>
      <color theme="5" tint="-0.249977111117893"/>
      <name val="Times New Roman"/>
      <family val="1"/>
      <charset val="204"/>
    </font>
    <font>
      <sz val="14"/>
      <color theme="9" tint="-0.499984740745262"/>
      <name val="Times New Roman"/>
      <family val="1"/>
      <charset val="204"/>
    </font>
    <font>
      <sz val="14"/>
      <color theme="5" tint="-0.499984740745262"/>
      <name val="Times New Roman"/>
      <family val="1"/>
      <charset val="204"/>
    </font>
    <font>
      <sz val="14"/>
      <color theme="4" tint="-0.249977111117893"/>
      <name val="Times New Roman"/>
      <family val="1"/>
      <charset val="204"/>
    </font>
    <font>
      <sz val="14"/>
      <color theme="8" tint="-0.249977111117893"/>
      <name val="Times New Roman"/>
      <family val="1"/>
      <charset val="204"/>
    </font>
    <font>
      <sz val="14"/>
      <color theme="7" tint="-0.499984740745262"/>
      <name val="Times New Roman"/>
      <family val="1"/>
      <charset val="204"/>
    </font>
    <font>
      <sz val="14"/>
      <color theme="9" tint="-0.249977111117893"/>
      <name val="Times New Roman"/>
      <family val="1"/>
      <charset val="204"/>
    </font>
    <font>
      <b/>
      <sz val="22"/>
      <color theme="4" tint="-0.499984740745262"/>
      <name val="Calibri"/>
      <family val="2"/>
      <charset val="204"/>
      <scheme val="minor"/>
    </font>
    <font>
      <b/>
      <sz val="16"/>
      <color theme="4" tint="-0.499984740745262"/>
      <name val="Calibri"/>
      <family val="2"/>
      <charset val="204"/>
      <scheme val="minor"/>
    </font>
    <font>
      <sz val="11"/>
      <color theme="4" tint="-0.499984740745262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theme="4" tint="-0.499984740745262"/>
      <name val="Calibri"/>
      <family val="2"/>
      <charset val="204"/>
      <scheme val="minor"/>
    </font>
    <font>
      <b/>
      <sz val="22"/>
      <color theme="7" tint="-0.249977111117893"/>
      <name val="Calibri"/>
      <family val="2"/>
      <charset val="204"/>
      <scheme val="minor"/>
    </font>
    <font>
      <b/>
      <sz val="16"/>
      <color theme="7" tint="-0.249977111117893"/>
      <name val="Calibri"/>
      <family val="2"/>
      <charset val="204"/>
      <scheme val="minor"/>
    </font>
    <font>
      <sz val="16"/>
      <color theme="7" tint="-0.249977111117893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b/>
      <sz val="22"/>
      <color theme="7" tint="-0.499984740745262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204"/>
      <scheme val="minor"/>
    </font>
    <font>
      <sz val="16"/>
      <color theme="7" tint="-0.499984740745262"/>
      <name val="Calibri"/>
      <family val="2"/>
      <charset val="204"/>
      <scheme val="minor"/>
    </font>
    <font>
      <sz val="11"/>
      <color theme="7" tint="-0.499984740745262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7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6" fontId="1" fillId="2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5" fillId="7" borderId="8" xfId="0" applyFont="1" applyFill="1" applyBorder="1" applyAlignment="1" applyProtection="1">
      <alignment horizontal="center" vertical="center"/>
      <protection locked="0"/>
    </xf>
    <xf numFmtId="0" fontId="1" fillId="0" borderId="7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1" fillId="3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20" fontId="1" fillId="0" borderId="7" xfId="0" applyNumberFormat="1" applyFont="1" applyBorder="1" applyAlignment="1">
      <alignment horizontal="left" vertical="center"/>
    </xf>
    <xf numFmtId="20" fontId="1" fillId="0" borderId="0" xfId="0" applyNumberFormat="1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20" fontId="1" fillId="3" borderId="0" xfId="0" applyNumberFormat="1" applyFont="1" applyFill="1" applyBorder="1" applyAlignment="1">
      <alignment horizontal="left" vertical="center"/>
    </xf>
    <xf numFmtId="49" fontId="1" fillId="3" borderId="0" xfId="0" applyNumberFormat="1" applyFont="1" applyFill="1" applyBorder="1" applyAlignment="1">
      <alignment horizontal="left" vertical="center"/>
    </xf>
    <xf numFmtId="20" fontId="1" fillId="0" borderId="5" xfId="0" applyNumberFormat="1" applyFont="1" applyBorder="1" applyAlignment="1">
      <alignment horizontal="left" vertical="center"/>
    </xf>
    <xf numFmtId="49" fontId="1" fillId="0" borderId="5" xfId="0" applyNumberFormat="1" applyFont="1" applyBorder="1" applyAlignment="1">
      <alignment horizontal="left" vertical="center"/>
    </xf>
    <xf numFmtId="49" fontId="1" fillId="0" borderId="7" xfId="0" applyNumberFormat="1" applyFont="1" applyBorder="1" applyAlignment="1">
      <alignment horizontal="left" vertical="center"/>
    </xf>
    <xf numFmtId="20" fontId="1" fillId="5" borderId="0" xfId="0" applyNumberFormat="1" applyFont="1" applyFill="1" applyBorder="1" applyAlignment="1">
      <alignment horizontal="left" vertical="center"/>
    </xf>
    <xf numFmtId="49" fontId="1" fillId="5" borderId="0" xfId="0" applyNumberFormat="1" applyFont="1" applyFill="1" applyBorder="1" applyAlignment="1">
      <alignment horizontal="left" vertical="center"/>
    </xf>
    <xf numFmtId="20" fontId="1" fillId="3" borderId="5" xfId="0" applyNumberFormat="1" applyFont="1" applyFill="1" applyBorder="1" applyAlignment="1">
      <alignment horizontal="left" vertical="center"/>
    </xf>
    <xf numFmtId="20" fontId="1" fillId="2" borderId="0" xfId="0" applyNumberFormat="1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left" vertical="center"/>
    </xf>
    <xf numFmtId="0" fontId="8" fillId="5" borderId="8" xfId="0" applyFont="1" applyFill="1" applyBorder="1" applyAlignment="1">
      <alignment horizontal="center" vertical="center"/>
    </xf>
    <xf numFmtId="20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center" vertical="center"/>
    </xf>
    <xf numFmtId="20" fontId="1" fillId="5" borderId="7" xfId="0" applyNumberFormat="1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3" fontId="1" fillId="0" borderId="0" xfId="0" applyNumberFormat="1" applyFont="1" applyBorder="1" applyAlignment="1">
      <alignment horizontal="left" vertical="center"/>
    </xf>
    <xf numFmtId="0" fontId="1" fillId="8" borderId="9" xfId="0" applyFont="1" applyFill="1" applyBorder="1" applyAlignment="1">
      <alignment horizontal="center" vertical="center"/>
    </xf>
    <xf numFmtId="20" fontId="1" fillId="8" borderId="7" xfId="0" applyNumberFormat="1" applyFont="1" applyFill="1" applyBorder="1" applyAlignment="1">
      <alignment horizontal="left" vertical="center"/>
    </xf>
    <xf numFmtId="0" fontId="1" fillId="8" borderId="7" xfId="0" applyFont="1" applyFill="1" applyBorder="1" applyAlignment="1">
      <alignment horizontal="left" vertical="center"/>
    </xf>
    <xf numFmtId="0" fontId="1" fillId="8" borderId="7" xfId="0" applyFont="1" applyFill="1" applyBorder="1" applyAlignment="1">
      <alignment horizontal="center" vertical="center"/>
    </xf>
    <xf numFmtId="0" fontId="1" fillId="9" borderId="11" xfId="0" applyFont="1" applyFill="1" applyBorder="1" applyAlignment="1">
      <alignment horizontal="center" vertical="center"/>
    </xf>
    <xf numFmtId="20" fontId="1" fillId="9" borderId="0" xfId="0" applyNumberFormat="1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20" fontId="1" fillId="10" borderId="0" xfId="0" applyNumberFormat="1" applyFont="1" applyFill="1" applyBorder="1" applyAlignment="1">
      <alignment horizontal="left" vertical="center"/>
    </xf>
    <xf numFmtId="0" fontId="1" fillId="10" borderId="0" xfId="0" applyFont="1" applyFill="1" applyBorder="1" applyAlignment="1">
      <alignment horizontal="left" vertical="center"/>
    </xf>
    <xf numFmtId="0" fontId="1" fillId="1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0" fontId="1" fillId="3" borderId="7" xfId="0" applyNumberFormat="1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20" fontId="1" fillId="2" borderId="7" xfId="0" applyNumberFormat="1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3" fontId="1" fillId="0" borderId="7" xfId="0" applyNumberFormat="1" applyFont="1" applyBorder="1" applyAlignment="1">
      <alignment horizontal="left" vertical="center"/>
    </xf>
    <xf numFmtId="0" fontId="1" fillId="0" borderId="8" xfId="0" applyFont="1" applyFill="1" applyBorder="1" applyAlignment="1">
      <alignment horizontal="center" vertical="center"/>
    </xf>
    <xf numFmtId="20" fontId="1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20" fontId="1" fillId="2" borderId="5" xfId="0" applyNumberFormat="1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0" fontId="1" fillId="0" borderId="0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0" fontId="12" fillId="3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0" fontId="17" fillId="0" borderId="25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0" borderId="27" xfId="0" applyFont="1" applyFill="1" applyBorder="1" applyAlignment="1">
      <alignment horizontal="center" vertical="center"/>
    </xf>
    <xf numFmtId="0" fontId="19" fillId="0" borderId="24" xfId="0" applyFont="1" applyFill="1" applyBorder="1" applyAlignment="1">
      <alignment horizontal="center" vertical="center"/>
    </xf>
    <xf numFmtId="0" fontId="20" fillId="0" borderId="25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20" fillId="0" borderId="27" xfId="0" applyFont="1" applyFill="1" applyBorder="1" applyAlignment="1">
      <alignment horizontal="center" vertical="center"/>
    </xf>
    <xf numFmtId="0" fontId="18" fillId="0" borderId="26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22" fillId="0" borderId="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20" fontId="1" fillId="2" borderId="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9" fillId="0" borderId="1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14" fontId="4" fillId="0" borderId="9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4" fontId="4" fillId="0" borderId="12" xfId="0" applyNumberFormat="1" applyFont="1" applyFill="1" applyBorder="1" applyAlignment="1">
      <alignment horizontal="center" vertical="center"/>
    </xf>
    <xf numFmtId="14" fontId="4" fillId="0" borderId="9" xfId="0" applyNumberFormat="1" applyFont="1" applyFill="1" applyBorder="1" applyAlignment="1">
      <alignment horizontal="center" vertical="center"/>
    </xf>
    <xf numFmtId="14" fontId="4" fillId="0" borderId="7" xfId="0" applyNumberFormat="1" applyFont="1" applyFill="1" applyBorder="1" applyAlignment="1">
      <alignment horizontal="center" vertical="center"/>
    </xf>
    <xf numFmtId="14" fontId="4" fillId="0" borderId="10" xfId="0" applyNumberFormat="1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14" fontId="4" fillId="0" borderId="12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18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7" fillId="11" borderId="27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Обычный" xfId="0" builtinId="0"/>
  </cellStyles>
  <dxfs count="5"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B3BD2D"/>
      <color rgb="FFDDD30D"/>
      <color rgb="FFD9DD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theme/theme1.xml" Type="http://schemas.openxmlformats.org/officeDocument/2006/relationships/theme"/><Relationship Id="rId7" Target="styles.xml" Type="http://schemas.openxmlformats.org/officeDocument/2006/relationships/styles"/><Relationship Id="rId8" Target="sharedStrings.xml" Type="http://schemas.openxmlformats.org/officeDocument/2006/relationships/sharedStrings"/><Relationship Id="rId9" Target="calcChain.xml" Type="http://schemas.openxmlformats.org/officeDocument/2006/relationships/calcChain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205</xdr:row>
      <xdr:rowOff>88900</xdr:rowOff>
    </xdr:from>
    <xdr:to>
      <xdr:col>9</xdr:col>
      <xdr:colOff>450850</xdr:colOff>
      <xdr:row>216</xdr:row>
      <xdr:rowOff>6350</xdr:rowOff>
    </xdr:to>
    <xdr:sp macro="" textlink="">
      <xdr:nvSpPr>
        <xdr:cNvPr id="8" name="Выгнутая вправо стрелка 7"/>
        <xdr:cNvSpPr/>
      </xdr:nvSpPr>
      <xdr:spPr>
        <a:xfrm>
          <a:off x="11004550" y="49949100"/>
          <a:ext cx="412750" cy="2571750"/>
        </a:xfrm>
        <a:prstGeom prst="curvedLeftArrow">
          <a:avLst/>
        </a:prstGeom>
        <a:solidFill>
          <a:srgbClr val="FF0000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69850</xdr:colOff>
      <xdr:row>289</xdr:row>
      <xdr:rowOff>107950</xdr:rowOff>
    </xdr:from>
    <xdr:to>
      <xdr:col>9</xdr:col>
      <xdr:colOff>285750</xdr:colOff>
      <xdr:row>299</xdr:row>
      <xdr:rowOff>203200</xdr:rowOff>
    </xdr:to>
    <xdr:sp macro="" textlink="">
      <xdr:nvSpPr>
        <xdr:cNvPr id="2" name="Выгнутая вправо стрелка 1"/>
        <xdr:cNvSpPr/>
      </xdr:nvSpPr>
      <xdr:spPr>
        <a:xfrm>
          <a:off x="11036300" y="70300850"/>
          <a:ext cx="215900" cy="250825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38100</xdr:rowOff>
        </xdr:from>
        <xdr:to>
          <xdr:col>10</xdr:col>
          <xdr:colOff>209550</xdr:colOff>
          <xdr:row>2</xdr:row>
          <xdr:rowOff>0</xdr:rowOff>
        </xdr:to>
        <xdr:sp macro="" textlink="">
          <xdr:nvSpPr>
            <xdr:cNvPr id="1026" name="zapZadach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95250</xdr:colOff>
      <xdr:row>358</xdr:row>
      <xdr:rowOff>139700</xdr:rowOff>
    </xdr:from>
    <xdr:to>
      <xdr:col>9</xdr:col>
      <xdr:colOff>387350</xdr:colOff>
      <xdr:row>366</xdr:row>
      <xdr:rowOff>215900</xdr:rowOff>
    </xdr:to>
    <xdr:sp macro="" textlink="">
      <xdr:nvSpPr>
        <xdr:cNvPr id="3" name="Выгнутая вправо стрелка 2"/>
        <xdr:cNvSpPr/>
      </xdr:nvSpPr>
      <xdr:spPr>
        <a:xfrm>
          <a:off x="11061700" y="87039450"/>
          <a:ext cx="292100" cy="20066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63500</xdr:colOff>
      <xdr:row>385</xdr:row>
      <xdr:rowOff>120650</xdr:rowOff>
    </xdr:from>
    <xdr:to>
      <xdr:col>9</xdr:col>
      <xdr:colOff>463550</xdr:colOff>
      <xdr:row>401</xdr:row>
      <xdr:rowOff>19050</xdr:rowOff>
    </xdr:to>
    <xdr:sp macro="" textlink="">
      <xdr:nvSpPr>
        <xdr:cNvPr id="4" name="Выгнутая вправо стрелка 3"/>
        <xdr:cNvSpPr/>
      </xdr:nvSpPr>
      <xdr:spPr>
        <a:xfrm>
          <a:off x="11029950" y="93567250"/>
          <a:ext cx="400050" cy="37592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31750</xdr:colOff>
      <xdr:row>404</xdr:row>
      <xdr:rowOff>101600</xdr:rowOff>
    </xdr:from>
    <xdr:to>
      <xdr:col>9</xdr:col>
      <xdr:colOff>444500</xdr:colOff>
      <xdr:row>414</xdr:row>
      <xdr:rowOff>12700</xdr:rowOff>
    </xdr:to>
    <xdr:sp macro="" textlink="">
      <xdr:nvSpPr>
        <xdr:cNvPr id="5" name="Выгнутая вправо стрелка 4"/>
        <xdr:cNvSpPr/>
      </xdr:nvSpPr>
      <xdr:spPr>
        <a:xfrm>
          <a:off x="10998200" y="98145600"/>
          <a:ext cx="412750" cy="23241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95250</xdr:colOff>
      <xdr:row>518</xdr:row>
      <xdr:rowOff>15875</xdr:rowOff>
    </xdr:from>
    <xdr:to>
      <xdr:col>10</xdr:col>
      <xdr:colOff>214313</xdr:colOff>
      <xdr:row>541</xdr:row>
      <xdr:rowOff>127000</xdr:rowOff>
    </xdr:to>
    <xdr:sp macro="" textlink="">
      <xdr:nvSpPr>
        <xdr:cNvPr id="6" name="Выгнутая вправо стрелка 5"/>
        <xdr:cNvSpPr/>
      </xdr:nvSpPr>
      <xdr:spPr>
        <a:xfrm>
          <a:off x="11056938" y="124158375"/>
          <a:ext cx="730250" cy="5588000"/>
        </a:xfrm>
        <a:prstGeom prst="curvedLeftArrow">
          <a:avLst/>
        </a:prstGeom>
        <a:solidFill>
          <a:srgbClr val="FF0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158750</xdr:colOff>
      <xdr:row>1</xdr:row>
      <xdr:rowOff>196850</xdr:rowOff>
    </xdr:from>
    <xdr:to>
      <xdr:col>9</xdr:col>
      <xdr:colOff>19050</xdr:colOff>
      <xdr:row>14</xdr:row>
      <xdr:rowOff>50800</xdr:rowOff>
    </xdr:to>
    <xdr:cxnSp macro="">
      <xdr:nvCxnSpPr>
        <xdr:cNvPr id="14" name="Прямая со стрелкой 13"/>
        <xdr:cNvCxnSpPr/>
      </xdr:nvCxnSpPr>
      <xdr:spPr>
        <a:xfrm flipH="1">
          <a:off x="6267450" y="438150"/>
          <a:ext cx="469900" cy="2990850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C000"/>
  </sheetPr>
  <dimension ref="A1:L1038"/>
  <sheetViews>
    <sheetView tabSelected="1" zoomScale="140" zoomScaleNormal="140" workbookViewId="0">
      <pane ySplit="2" topLeftCell="A1018" activePane="bottomLeft" state="frozen"/>
      <selection pane="bottomLeft" activeCell="I1037" sqref="I1037"/>
    </sheetView>
  </sheetViews>
  <sheetFormatPr defaultRowHeight="18.75" x14ac:dyDescent="0.25"/>
  <cols>
    <col min="1" max="1" customWidth="true" style="1" width="7.140625"/>
    <col min="2" max="2" customWidth="true" style="44" width="11.140625"/>
    <col min="3" max="3" customWidth="true" style="44" width="16.0"/>
    <col min="4" max="4" customWidth="true" style="44" width="17.85546875"/>
    <col min="5" max="5" customWidth="true" style="44" width="23.85546875"/>
    <col min="6" max="6" customWidth="true" style="44" width="36.7109375"/>
    <col min="7" max="7" customWidth="true" style="153" width="19.0"/>
    <col min="8" max="8" customWidth="true" style="153" width="21.42578125"/>
    <col min="9" max="9" customWidth="true" style="153" width="16.140625"/>
    <col min="10" max="16384" style="1" width="9.140625"/>
  </cols>
  <sheetData>
    <row r="1" spans="1:9" ht="19.5" thickBot="1" x14ac:dyDescent="0.3">
      <c r="B1" s="191" t="s">
        <v>427</v>
      </c>
      <c r="C1" s="192"/>
      <c r="D1" s="192"/>
      <c r="E1" s="192"/>
      <c r="F1" s="192"/>
      <c r="G1" s="192"/>
      <c r="H1" s="192"/>
      <c r="I1" s="193"/>
    </row>
    <row r="2" spans="1:9" ht="38.25" thickBot="1" x14ac:dyDescent="0.3">
      <c r="A2" s="9" t="s">
        <v>0</v>
      </c>
      <c r="B2" s="9" t="s">
        <v>1</v>
      </c>
      <c r="C2" s="10" t="s">
        <v>2</v>
      </c>
      <c r="D2" s="11" t="s">
        <v>3</v>
      </c>
      <c r="E2" s="12" t="s">
        <v>4</v>
      </c>
      <c r="F2" s="9" t="s">
        <v>5</v>
      </c>
      <c r="G2" s="8" t="s">
        <v>63</v>
      </c>
      <c r="H2" s="9" t="s">
        <v>6</v>
      </c>
      <c r="I2" s="13" t="s">
        <v>9</v>
      </c>
    </row>
    <row r="3" spans="1:9" ht="15" customHeight="1" thickBot="1" x14ac:dyDescent="0.3">
      <c r="A3" s="186">
        <v>46070</v>
      </c>
      <c r="B3" s="186"/>
      <c r="C3" s="186"/>
      <c r="D3" s="186"/>
      <c r="E3" s="186"/>
      <c r="F3" s="186"/>
      <c r="G3" s="186"/>
      <c r="H3" s="186"/>
      <c r="I3" s="186"/>
    </row>
    <row r="4" spans="1:9" x14ac:dyDescent="0.25">
      <c r="A4" s="14">
        <v>1</v>
      </c>
      <c r="B4" s="45">
        <v>0.78819444444444453</v>
      </c>
      <c r="C4" s="37">
        <v>1752</v>
      </c>
      <c r="D4" s="37" t="s">
        <v>10</v>
      </c>
      <c r="E4" s="37" t="s">
        <v>11</v>
      </c>
      <c r="F4" s="37" t="s">
        <v>19</v>
      </c>
      <c r="G4" s="151">
        <v>2</v>
      </c>
      <c r="H4" s="151" t="s">
        <v>7</v>
      </c>
      <c r="I4" s="155" t="s">
        <v>13</v>
      </c>
    </row>
    <row r="5" spans="1:9" x14ac:dyDescent="0.25">
      <c r="A5" s="179">
        <v>46071</v>
      </c>
      <c r="B5" s="194"/>
      <c r="C5" s="194"/>
      <c r="D5" s="194"/>
      <c r="E5" s="194"/>
      <c r="F5" s="194"/>
      <c r="G5" s="194"/>
      <c r="H5" s="194"/>
      <c r="I5" s="195"/>
    </row>
    <row r="6" spans="1:9" x14ac:dyDescent="0.25">
      <c r="A6" s="15">
        <v>2</v>
      </c>
      <c r="B6" s="46">
        <v>0.33333333333333331</v>
      </c>
      <c r="C6" s="38">
        <v>1746</v>
      </c>
      <c r="D6" s="38" t="s">
        <v>10</v>
      </c>
      <c r="E6" s="47" t="s">
        <v>11</v>
      </c>
      <c r="F6" s="38" t="s">
        <v>12</v>
      </c>
      <c r="G6" s="5">
        <v>3</v>
      </c>
      <c r="H6" s="5" t="s">
        <v>7</v>
      </c>
      <c r="I6" s="156" t="s">
        <v>13</v>
      </c>
    </row>
    <row r="7" spans="1:9" x14ac:dyDescent="0.25">
      <c r="A7" s="15">
        <v>3</v>
      </c>
      <c r="B7" s="46">
        <v>0.36041666666666666</v>
      </c>
      <c r="C7" s="38">
        <v>1746</v>
      </c>
      <c r="D7" s="38" t="s">
        <v>10</v>
      </c>
      <c r="E7" s="47" t="s">
        <v>11</v>
      </c>
      <c r="F7" s="38" t="s">
        <v>12</v>
      </c>
      <c r="G7" s="5">
        <v>2</v>
      </c>
      <c r="H7" s="5" t="s">
        <v>7</v>
      </c>
      <c r="I7" s="156" t="s">
        <v>13</v>
      </c>
    </row>
    <row r="8" spans="1:9" x14ac:dyDescent="0.25">
      <c r="A8" s="15">
        <v>4</v>
      </c>
      <c r="B8" s="46">
        <v>0.49791666666666662</v>
      </c>
      <c r="C8" s="38">
        <v>1754</v>
      </c>
      <c r="D8" s="38" t="s">
        <v>10</v>
      </c>
      <c r="E8" s="47" t="s">
        <v>14</v>
      </c>
      <c r="F8" s="38" t="s">
        <v>12</v>
      </c>
      <c r="G8" s="5">
        <v>4</v>
      </c>
      <c r="H8" s="5" t="s">
        <v>7</v>
      </c>
      <c r="I8" s="156" t="s">
        <v>13</v>
      </c>
    </row>
    <row r="9" spans="1:9" x14ac:dyDescent="0.25">
      <c r="A9" s="16">
        <v>5</v>
      </c>
      <c r="B9" s="48">
        <v>0.52430555555555558</v>
      </c>
      <c r="C9" s="39">
        <v>1753</v>
      </c>
      <c r="D9" s="39" t="s">
        <v>10</v>
      </c>
      <c r="E9" s="49" t="s">
        <v>15</v>
      </c>
      <c r="F9" s="39" t="s">
        <v>16</v>
      </c>
      <c r="G9" s="4">
        <v>2</v>
      </c>
      <c r="H9" s="4" t="s">
        <v>7</v>
      </c>
      <c r="I9" s="157" t="s">
        <v>17</v>
      </c>
    </row>
    <row r="10" spans="1:9" x14ac:dyDescent="0.25">
      <c r="A10" s="15">
        <v>6</v>
      </c>
      <c r="B10" s="46">
        <v>0.58402777777777781</v>
      </c>
      <c r="C10" s="38">
        <v>1541</v>
      </c>
      <c r="D10" s="38" t="s">
        <v>10</v>
      </c>
      <c r="E10" s="47" t="s">
        <v>18</v>
      </c>
      <c r="F10" s="38" t="s">
        <v>19</v>
      </c>
      <c r="G10" s="5">
        <v>3</v>
      </c>
      <c r="H10" s="5" t="s">
        <v>7</v>
      </c>
      <c r="I10" s="156" t="s">
        <v>13</v>
      </c>
    </row>
    <row r="11" spans="1:9" x14ac:dyDescent="0.25">
      <c r="A11" s="15">
        <v>7</v>
      </c>
      <c r="B11" s="46">
        <v>0.58402777777777781</v>
      </c>
      <c r="C11" s="38">
        <v>1516</v>
      </c>
      <c r="D11" s="38" t="s">
        <v>10</v>
      </c>
      <c r="E11" s="47" t="s">
        <v>20</v>
      </c>
      <c r="F11" s="38" t="s">
        <v>21</v>
      </c>
      <c r="G11" s="5">
        <v>3</v>
      </c>
      <c r="H11" s="5" t="s">
        <v>7</v>
      </c>
      <c r="I11" s="156" t="s">
        <v>13</v>
      </c>
    </row>
    <row r="12" spans="1:9" ht="19.5" thickBot="1" x14ac:dyDescent="0.3">
      <c r="A12" s="17">
        <v>8</v>
      </c>
      <c r="B12" s="50">
        <v>0.58402777777777781</v>
      </c>
      <c r="C12" s="40">
        <v>1551</v>
      </c>
      <c r="D12" s="40" t="s">
        <v>10</v>
      </c>
      <c r="E12" s="51" t="s">
        <v>22</v>
      </c>
      <c r="F12" s="40" t="s">
        <v>23</v>
      </c>
      <c r="G12" s="18">
        <v>3</v>
      </c>
      <c r="H12" s="18" t="s">
        <v>7</v>
      </c>
      <c r="I12" s="158" t="s">
        <v>13</v>
      </c>
    </row>
    <row r="13" spans="1:9" ht="19.5" thickBot="1" x14ac:dyDescent="0.3">
      <c r="A13" s="196"/>
      <c r="B13" s="196"/>
      <c r="C13" s="196"/>
      <c r="D13" s="196"/>
      <c r="E13" s="196"/>
      <c r="F13" s="196"/>
      <c r="G13" s="196"/>
      <c r="H13" s="196"/>
      <c r="I13" s="196"/>
    </row>
    <row r="14" spans="1:9" x14ac:dyDescent="0.25">
      <c r="A14" s="14">
        <v>1</v>
      </c>
      <c r="B14" s="45">
        <v>0.84930555555555554</v>
      </c>
      <c r="C14" s="37">
        <v>1753</v>
      </c>
      <c r="D14" s="37" t="s">
        <v>10</v>
      </c>
      <c r="E14" s="52" t="s">
        <v>15</v>
      </c>
      <c r="F14" s="37" t="s">
        <v>24</v>
      </c>
      <c r="G14" s="151">
        <v>4</v>
      </c>
      <c r="H14" s="151" t="s">
        <v>7</v>
      </c>
      <c r="I14" s="155" t="s">
        <v>13</v>
      </c>
    </row>
    <row r="15" spans="1:9" x14ac:dyDescent="0.25">
      <c r="A15" s="15">
        <v>2</v>
      </c>
      <c r="B15" s="46">
        <v>0.89444444444444438</v>
      </c>
      <c r="C15" s="38">
        <v>1799</v>
      </c>
      <c r="D15" s="38" t="s">
        <v>10</v>
      </c>
      <c r="E15" s="47" t="s">
        <v>25</v>
      </c>
      <c r="F15" s="38" t="s">
        <v>26</v>
      </c>
      <c r="G15" s="5">
        <v>14</v>
      </c>
      <c r="H15" s="5" t="s">
        <v>7</v>
      </c>
      <c r="I15" s="156" t="s">
        <v>13</v>
      </c>
    </row>
    <row r="16" spans="1:9" x14ac:dyDescent="0.25">
      <c r="A16" s="15">
        <v>3</v>
      </c>
      <c r="B16" s="46">
        <v>0.91527777777777775</v>
      </c>
      <c r="C16" s="38">
        <v>2113</v>
      </c>
      <c r="D16" s="38" t="s">
        <v>10</v>
      </c>
      <c r="E16" s="47" t="s">
        <v>27</v>
      </c>
      <c r="F16" s="38" t="s">
        <v>28</v>
      </c>
      <c r="G16" s="5">
        <v>5</v>
      </c>
      <c r="H16" s="5" t="s">
        <v>7</v>
      </c>
      <c r="I16" s="156" t="s">
        <v>13</v>
      </c>
    </row>
    <row r="17" spans="1:9" x14ac:dyDescent="0.25">
      <c r="A17" s="182">
        <v>46072</v>
      </c>
      <c r="B17" s="183"/>
      <c r="C17" s="183"/>
      <c r="D17" s="183"/>
      <c r="E17" s="183"/>
      <c r="F17" s="183"/>
      <c r="G17" s="183"/>
      <c r="H17" s="183"/>
      <c r="I17" s="184"/>
    </row>
    <row r="18" spans="1:9" x14ac:dyDescent="0.25">
      <c r="A18" s="19">
        <v>4</v>
      </c>
      <c r="B18" s="53">
        <v>2.0833333333333332E-2</v>
      </c>
      <c r="C18" s="41">
        <v>1817</v>
      </c>
      <c r="D18" s="41" t="s">
        <v>10</v>
      </c>
      <c r="E18" s="54" t="s">
        <v>29</v>
      </c>
      <c r="F18" s="41" t="s">
        <v>32</v>
      </c>
      <c r="G18" s="7">
        <v>8</v>
      </c>
      <c r="H18" s="7" t="s">
        <v>7</v>
      </c>
      <c r="I18" s="159" t="s">
        <v>35</v>
      </c>
    </row>
    <row r="19" spans="1:9" x14ac:dyDescent="0.25">
      <c r="A19" s="19">
        <v>5</v>
      </c>
      <c r="B19" s="53">
        <v>2.7777777777777776E-2</v>
      </c>
      <c r="C19" s="41">
        <v>1538</v>
      </c>
      <c r="D19" s="41" t="s">
        <v>10</v>
      </c>
      <c r="E19" s="54" t="s">
        <v>30</v>
      </c>
      <c r="F19" s="41" t="s">
        <v>33</v>
      </c>
      <c r="G19" s="7">
        <v>8</v>
      </c>
      <c r="H19" s="7" t="s">
        <v>7</v>
      </c>
      <c r="I19" s="159" t="s">
        <v>35</v>
      </c>
    </row>
    <row r="20" spans="1:9" x14ac:dyDescent="0.25">
      <c r="A20" s="19">
        <v>6</v>
      </c>
      <c r="B20" s="53">
        <v>3.4722222222222224E-2</v>
      </c>
      <c r="C20" s="41">
        <v>1533</v>
      </c>
      <c r="D20" s="41" t="s">
        <v>10</v>
      </c>
      <c r="E20" s="54" t="s">
        <v>31</v>
      </c>
      <c r="F20" s="41" t="s">
        <v>34</v>
      </c>
      <c r="G20" s="7">
        <v>8</v>
      </c>
      <c r="H20" s="7" t="s">
        <v>7</v>
      </c>
      <c r="I20" s="159" t="s">
        <v>35</v>
      </c>
    </row>
    <row r="21" spans="1:9" x14ac:dyDescent="0.25">
      <c r="A21" s="15">
        <v>7</v>
      </c>
      <c r="B21" s="46">
        <v>0.42291666666666666</v>
      </c>
      <c r="C21" s="38">
        <v>1746</v>
      </c>
      <c r="D21" s="38" t="s">
        <v>10</v>
      </c>
      <c r="E21" s="38" t="s">
        <v>15</v>
      </c>
      <c r="F21" s="38" t="s">
        <v>12</v>
      </c>
      <c r="G21" s="5">
        <v>2</v>
      </c>
      <c r="H21" s="5" t="s">
        <v>7</v>
      </c>
      <c r="I21" s="156" t="s">
        <v>13</v>
      </c>
    </row>
    <row r="22" spans="1:9" ht="19.5" thickBot="1" x14ac:dyDescent="0.3">
      <c r="A22" s="20">
        <v>8</v>
      </c>
      <c r="B22" s="55">
        <v>0.47222222222222227</v>
      </c>
      <c r="C22" s="42">
        <v>1753</v>
      </c>
      <c r="D22" s="42" t="s">
        <v>10</v>
      </c>
      <c r="E22" s="42" t="s">
        <v>15</v>
      </c>
      <c r="F22" s="42" t="s">
        <v>23</v>
      </c>
      <c r="G22" s="21">
        <v>4</v>
      </c>
      <c r="H22" s="21" t="s">
        <v>7</v>
      </c>
      <c r="I22" s="160" t="s">
        <v>17</v>
      </c>
    </row>
    <row r="23" spans="1:9" ht="19.5" thickBot="1" x14ac:dyDescent="0.3">
      <c r="A23" s="196"/>
      <c r="B23" s="196"/>
      <c r="C23" s="196"/>
      <c r="D23" s="196"/>
      <c r="E23" s="196"/>
      <c r="F23" s="196"/>
      <c r="G23" s="196"/>
      <c r="H23" s="196"/>
      <c r="I23" s="196"/>
    </row>
    <row r="24" spans="1:9" x14ac:dyDescent="0.25">
      <c r="A24" s="14">
        <v>1</v>
      </c>
      <c r="B24" s="45">
        <v>0.7270833333333333</v>
      </c>
      <c r="C24" s="37">
        <v>1744</v>
      </c>
      <c r="D24" s="37" t="s">
        <v>10</v>
      </c>
      <c r="E24" s="37" t="s">
        <v>15</v>
      </c>
      <c r="F24" s="37" t="s">
        <v>24</v>
      </c>
      <c r="G24" s="151">
        <v>2</v>
      </c>
      <c r="H24" s="151" t="s">
        <v>7</v>
      </c>
      <c r="I24" s="155" t="s">
        <v>13</v>
      </c>
    </row>
    <row r="25" spans="1:9" x14ac:dyDescent="0.25">
      <c r="A25" s="15">
        <v>2</v>
      </c>
      <c r="B25" s="46">
        <v>0.7284722222222223</v>
      </c>
      <c r="C25" s="38">
        <v>1746</v>
      </c>
      <c r="D25" s="38" t="s">
        <v>10</v>
      </c>
      <c r="E25" s="38" t="s">
        <v>15</v>
      </c>
      <c r="F25" s="38" t="s">
        <v>24</v>
      </c>
      <c r="G25" s="5">
        <v>2</v>
      </c>
      <c r="H25" s="5" t="s">
        <v>7</v>
      </c>
      <c r="I25" s="156" t="s">
        <v>13</v>
      </c>
    </row>
    <row r="26" spans="1:9" x14ac:dyDescent="0.25">
      <c r="A26" s="15">
        <v>3</v>
      </c>
      <c r="B26" s="46">
        <v>0.7284722222222223</v>
      </c>
      <c r="C26" s="38">
        <v>1746</v>
      </c>
      <c r="D26" s="38" t="s">
        <v>10</v>
      </c>
      <c r="E26" s="38" t="s">
        <v>15</v>
      </c>
      <c r="F26" s="38" t="s">
        <v>36</v>
      </c>
      <c r="G26" s="5">
        <v>2</v>
      </c>
      <c r="H26" s="5" t="s">
        <v>7</v>
      </c>
      <c r="I26" s="156" t="s">
        <v>13</v>
      </c>
    </row>
    <row r="27" spans="1:9" x14ac:dyDescent="0.25">
      <c r="A27" s="15">
        <v>4</v>
      </c>
      <c r="B27" s="46">
        <v>0.7284722222222223</v>
      </c>
      <c r="C27" s="38">
        <v>1746</v>
      </c>
      <c r="D27" s="38" t="s">
        <v>10</v>
      </c>
      <c r="E27" s="38" t="s">
        <v>15</v>
      </c>
      <c r="F27" s="38" t="s">
        <v>12</v>
      </c>
      <c r="G27" s="5">
        <v>3</v>
      </c>
      <c r="H27" s="5" t="s">
        <v>7</v>
      </c>
      <c r="I27" s="156" t="s">
        <v>13</v>
      </c>
    </row>
    <row r="28" spans="1:9" x14ac:dyDescent="0.25">
      <c r="A28" s="15">
        <v>5</v>
      </c>
      <c r="B28" s="46">
        <v>0.72916666666666663</v>
      </c>
      <c r="C28" s="38">
        <v>1747</v>
      </c>
      <c r="D28" s="38" t="s">
        <v>10</v>
      </c>
      <c r="E28" s="38" t="s">
        <v>15</v>
      </c>
      <c r="F28" s="38" t="s">
        <v>37</v>
      </c>
      <c r="G28" s="5">
        <v>3</v>
      </c>
      <c r="H28" s="5" t="s">
        <v>7</v>
      </c>
      <c r="I28" s="156" t="s">
        <v>13</v>
      </c>
    </row>
    <row r="29" spans="1:9" x14ac:dyDescent="0.25">
      <c r="A29" s="15">
        <v>6</v>
      </c>
      <c r="B29" s="46">
        <v>0.72916666666666663</v>
      </c>
      <c r="C29" s="38">
        <v>1746</v>
      </c>
      <c r="D29" s="38" t="s">
        <v>10</v>
      </c>
      <c r="E29" s="38" t="s">
        <v>15</v>
      </c>
      <c r="F29" s="38" t="s">
        <v>16</v>
      </c>
      <c r="G29" s="5">
        <v>3</v>
      </c>
      <c r="H29" s="5" t="s">
        <v>7</v>
      </c>
      <c r="I29" s="156" t="s">
        <v>13</v>
      </c>
    </row>
    <row r="30" spans="1:9" x14ac:dyDescent="0.25">
      <c r="A30" s="182">
        <v>46073</v>
      </c>
      <c r="B30" s="183"/>
      <c r="C30" s="183"/>
      <c r="D30" s="183"/>
      <c r="E30" s="183"/>
      <c r="F30" s="183"/>
      <c r="G30" s="183"/>
      <c r="H30" s="183"/>
      <c r="I30" s="184"/>
    </row>
    <row r="31" spans="1:9" x14ac:dyDescent="0.25">
      <c r="A31" s="15">
        <v>7</v>
      </c>
      <c r="B31" s="46">
        <v>0.27777777777777779</v>
      </c>
      <c r="C31" s="38">
        <v>1777</v>
      </c>
      <c r="D31" s="38" t="s">
        <v>42</v>
      </c>
      <c r="E31" s="38" t="s">
        <v>39</v>
      </c>
      <c r="F31" s="38" t="s">
        <v>23</v>
      </c>
      <c r="G31" s="5">
        <v>5</v>
      </c>
      <c r="H31" s="5" t="s">
        <v>7</v>
      </c>
      <c r="I31" s="156" t="s">
        <v>13</v>
      </c>
    </row>
    <row r="32" spans="1:9" x14ac:dyDescent="0.25">
      <c r="A32" s="22">
        <v>8</v>
      </c>
      <c r="B32" s="56">
        <v>0.47361111111111115</v>
      </c>
      <c r="C32" s="43">
        <v>1787</v>
      </c>
      <c r="D32" s="43" t="s">
        <v>42</v>
      </c>
      <c r="E32" s="57" t="s">
        <v>40</v>
      </c>
      <c r="F32" s="43" t="s">
        <v>23</v>
      </c>
      <c r="G32" s="24" t="s">
        <v>41</v>
      </c>
      <c r="H32" s="23" t="s">
        <v>8</v>
      </c>
      <c r="I32" s="161" t="s">
        <v>13</v>
      </c>
    </row>
    <row r="33" spans="1:9" x14ac:dyDescent="0.25">
      <c r="A33" s="15">
        <v>9</v>
      </c>
      <c r="B33" s="46">
        <v>0.49722222222222223</v>
      </c>
      <c r="C33" s="38">
        <v>1758</v>
      </c>
      <c r="D33" s="38" t="s">
        <v>10</v>
      </c>
      <c r="E33" s="38" t="s">
        <v>43</v>
      </c>
      <c r="F33" s="38" t="s">
        <v>12</v>
      </c>
      <c r="G33" s="5">
        <v>3</v>
      </c>
      <c r="H33" s="5" t="s">
        <v>7</v>
      </c>
      <c r="I33" s="156" t="s">
        <v>13</v>
      </c>
    </row>
    <row r="34" spans="1:9" ht="19.5" thickBot="1" x14ac:dyDescent="0.3">
      <c r="A34" s="173" t="s">
        <v>44</v>
      </c>
      <c r="B34" s="174"/>
      <c r="C34" s="174"/>
      <c r="D34" s="174"/>
      <c r="E34" s="174"/>
      <c r="F34" s="174"/>
      <c r="G34" s="174"/>
      <c r="H34" s="174"/>
      <c r="I34" s="175"/>
    </row>
    <row r="35" spans="1:9" ht="19.5" thickBot="1" x14ac:dyDescent="0.3">
      <c r="A35" s="197"/>
      <c r="B35" s="197"/>
      <c r="C35" s="197"/>
      <c r="D35" s="197"/>
      <c r="E35" s="197"/>
      <c r="F35" s="197"/>
      <c r="G35" s="197"/>
      <c r="H35" s="197"/>
      <c r="I35" s="197"/>
    </row>
    <row r="36" spans="1:9" x14ac:dyDescent="0.25">
      <c r="A36" s="14">
        <v>1</v>
      </c>
      <c r="B36" s="45">
        <v>0.71250000000000002</v>
      </c>
      <c r="C36" s="37">
        <v>1515</v>
      </c>
      <c r="D36" s="37" t="s">
        <v>10</v>
      </c>
      <c r="E36" s="37" t="s">
        <v>45</v>
      </c>
      <c r="F36" s="37" t="s">
        <v>23</v>
      </c>
      <c r="G36" s="151" t="s">
        <v>46</v>
      </c>
      <c r="H36" s="151" t="s">
        <v>7</v>
      </c>
      <c r="I36" s="155" t="s">
        <v>13</v>
      </c>
    </row>
    <row r="37" spans="1:9" x14ac:dyDescent="0.25">
      <c r="A37" s="15">
        <v>2</v>
      </c>
      <c r="B37" s="46">
        <v>0.98611111111111116</v>
      </c>
      <c r="C37" s="38">
        <v>1279</v>
      </c>
      <c r="D37" s="38" t="s">
        <v>42</v>
      </c>
      <c r="E37" s="38" t="s">
        <v>47</v>
      </c>
      <c r="F37" s="38" t="s">
        <v>23</v>
      </c>
      <c r="G37" s="5">
        <v>2</v>
      </c>
      <c r="H37" s="5" t="s">
        <v>7</v>
      </c>
      <c r="I37" s="156" t="s">
        <v>13</v>
      </c>
    </row>
    <row r="38" spans="1:9" x14ac:dyDescent="0.25">
      <c r="A38" s="15">
        <v>3</v>
      </c>
      <c r="B38" s="46">
        <v>0.99305555555555547</v>
      </c>
      <c r="C38" s="38">
        <v>1279</v>
      </c>
      <c r="D38" s="38" t="s">
        <v>42</v>
      </c>
      <c r="E38" s="38" t="s">
        <v>47</v>
      </c>
      <c r="F38" s="38" t="s">
        <v>21</v>
      </c>
      <c r="G38" s="5">
        <v>3</v>
      </c>
      <c r="H38" s="5" t="s">
        <v>7</v>
      </c>
      <c r="I38" s="156" t="s">
        <v>13</v>
      </c>
    </row>
    <row r="39" spans="1:9" x14ac:dyDescent="0.25">
      <c r="A39" s="182">
        <v>46074</v>
      </c>
      <c r="B39" s="183"/>
      <c r="C39" s="183"/>
      <c r="D39" s="183"/>
      <c r="E39" s="183"/>
      <c r="F39" s="183"/>
      <c r="G39" s="183"/>
      <c r="H39" s="183"/>
      <c r="I39" s="184"/>
    </row>
    <row r="40" spans="1:9" x14ac:dyDescent="0.25">
      <c r="A40" s="22">
        <v>4</v>
      </c>
      <c r="B40" s="56">
        <v>0.35069444444444442</v>
      </c>
      <c r="C40" s="43">
        <v>2125</v>
      </c>
      <c r="D40" s="43" t="s">
        <v>10</v>
      </c>
      <c r="E40" s="43" t="s">
        <v>58</v>
      </c>
      <c r="F40" s="43" t="s">
        <v>19</v>
      </c>
      <c r="G40" s="23">
        <v>10</v>
      </c>
      <c r="H40" s="23" t="s">
        <v>8</v>
      </c>
      <c r="I40" s="161" t="s">
        <v>13</v>
      </c>
    </row>
    <row r="41" spans="1:9" x14ac:dyDescent="0.25">
      <c r="A41" s="15">
        <v>5</v>
      </c>
      <c r="B41" s="46">
        <v>0.38263888888888892</v>
      </c>
      <c r="C41" s="38">
        <v>1753</v>
      </c>
      <c r="D41" s="38" t="s">
        <v>10</v>
      </c>
      <c r="E41" s="38" t="s">
        <v>15</v>
      </c>
      <c r="F41" s="38" t="s">
        <v>12</v>
      </c>
      <c r="G41" s="5">
        <v>5</v>
      </c>
      <c r="H41" s="5" t="s">
        <v>7</v>
      </c>
      <c r="I41" s="156" t="s">
        <v>13</v>
      </c>
    </row>
    <row r="42" spans="1:9" x14ac:dyDescent="0.25">
      <c r="A42" s="15">
        <v>6</v>
      </c>
      <c r="B42" s="46">
        <v>0.3972222222222222</v>
      </c>
      <c r="C42" s="38" t="s">
        <v>59</v>
      </c>
      <c r="D42" s="38" t="s">
        <v>10</v>
      </c>
      <c r="E42" s="38" t="s">
        <v>60</v>
      </c>
      <c r="F42" s="38" t="s">
        <v>21</v>
      </c>
      <c r="G42" s="5" t="s">
        <v>62</v>
      </c>
      <c r="H42" s="5" t="s">
        <v>7</v>
      </c>
      <c r="I42" s="156" t="s">
        <v>13</v>
      </c>
    </row>
    <row r="43" spans="1:9" x14ac:dyDescent="0.25">
      <c r="A43" s="16">
        <v>7</v>
      </c>
      <c r="B43" s="48">
        <v>0.39861111111111108</v>
      </c>
      <c r="C43" s="39">
        <v>1279</v>
      </c>
      <c r="D43" s="39" t="s">
        <v>42</v>
      </c>
      <c r="E43" s="39" t="s">
        <v>61</v>
      </c>
      <c r="F43" s="39" t="s">
        <v>23</v>
      </c>
      <c r="G43" s="4">
        <v>5</v>
      </c>
      <c r="H43" s="4" t="s">
        <v>7</v>
      </c>
      <c r="I43" s="157" t="s">
        <v>17</v>
      </c>
    </row>
    <row r="44" spans="1:9" x14ac:dyDescent="0.25">
      <c r="A44" s="15">
        <v>8</v>
      </c>
      <c r="B44" s="46">
        <v>0.50763888888888886</v>
      </c>
      <c r="C44" s="38">
        <v>1753</v>
      </c>
      <c r="D44" s="38" t="s">
        <v>10</v>
      </c>
      <c r="E44" s="38" t="s">
        <v>15</v>
      </c>
      <c r="F44" s="38" t="s">
        <v>12</v>
      </c>
      <c r="G44" s="5">
        <v>3</v>
      </c>
      <c r="H44" s="5" t="s">
        <v>7</v>
      </c>
      <c r="I44" s="156" t="s">
        <v>13</v>
      </c>
    </row>
    <row r="45" spans="1:9" x14ac:dyDescent="0.25">
      <c r="A45" s="15">
        <v>9</v>
      </c>
      <c r="B45" s="46">
        <v>0.52430555555555558</v>
      </c>
      <c r="C45" s="38">
        <v>1590</v>
      </c>
      <c r="D45" s="38" t="s">
        <v>10</v>
      </c>
      <c r="E45" s="38" t="s">
        <v>64</v>
      </c>
      <c r="F45" s="38" t="s">
        <v>19</v>
      </c>
      <c r="G45" s="5">
        <v>8</v>
      </c>
      <c r="H45" s="5" t="s">
        <v>7</v>
      </c>
      <c r="I45" s="156" t="s">
        <v>13</v>
      </c>
    </row>
    <row r="46" spans="1:9" ht="19.5" thickBot="1" x14ac:dyDescent="0.3">
      <c r="A46" s="173" t="s">
        <v>65</v>
      </c>
      <c r="B46" s="174"/>
      <c r="C46" s="174"/>
      <c r="D46" s="174"/>
      <c r="E46" s="174"/>
      <c r="F46" s="174"/>
      <c r="G46" s="174"/>
      <c r="H46" s="174"/>
      <c r="I46" s="175"/>
    </row>
    <row r="47" spans="1:9" ht="19.5" thickBot="1" x14ac:dyDescent="0.3">
      <c r="A47" s="197"/>
      <c r="B47" s="197"/>
      <c r="C47" s="197"/>
      <c r="D47" s="197"/>
      <c r="E47" s="197"/>
      <c r="F47" s="197"/>
      <c r="G47" s="197"/>
      <c r="H47" s="197"/>
      <c r="I47" s="197"/>
    </row>
    <row r="48" spans="1:9" x14ac:dyDescent="0.25">
      <c r="A48" s="61">
        <v>1</v>
      </c>
      <c r="B48" s="62">
        <v>0.93819444444444444</v>
      </c>
      <c r="C48" s="63">
        <v>1789</v>
      </c>
      <c r="D48" s="63" t="s">
        <v>66</v>
      </c>
      <c r="E48" s="63" t="s">
        <v>67</v>
      </c>
      <c r="F48" s="63" t="s">
        <v>19</v>
      </c>
      <c r="G48" s="64" t="s">
        <v>86</v>
      </c>
      <c r="H48" s="64" t="s">
        <v>7</v>
      </c>
      <c r="I48" s="162" t="s">
        <v>35</v>
      </c>
    </row>
    <row r="49" spans="1:9" x14ac:dyDescent="0.25">
      <c r="A49" s="19">
        <v>2</v>
      </c>
      <c r="B49" s="53">
        <v>0.95763888888888893</v>
      </c>
      <c r="C49" s="41">
        <v>1778</v>
      </c>
      <c r="D49" s="41" t="s">
        <v>68</v>
      </c>
      <c r="E49" s="41" t="s">
        <v>38</v>
      </c>
      <c r="F49" s="41" t="s">
        <v>21</v>
      </c>
      <c r="G49" s="7" t="s">
        <v>87</v>
      </c>
      <c r="H49" s="7" t="s">
        <v>7</v>
      </c>
      <c r="I49" s="159" t="s">
        <v>35</v>
      </c>
    </row>
    <row r="50" spans="1:9" x14ac:dyDescent="0.25">
      <c r="A50" s="182">
        <v>46075</v>
      </c>
      <c r="B50" s="183"/>
      <c r="C50" s="183"/>
      <c r="D50" s="183"/>
      <c r="E50" s="183"/>
      <c r="F50" s="183"/>
      <c r="G50" s="183"/>
      <c r="H50" s="183"/>
      <c r="I50" s="184"/>
    </row>
    <row r="51" spans="1:9" x14ac:dyDescent="0.25">
      <c r="A51" s="65">
        <v>3</v>
      </c>
      <c r="B51" s="59">
        <v>3.1944444444444449E-2</v>
      </c>
      <c r="C51" s="60">
        <v>2111</v>
      </c>
      <c r="D51" s="60" t="s">
        <v>69</v>
      </c>
      <c r="E51" s="60" t="s">
        <v>70</v>
      </c>
      <c r="F51" s="60" t="s">
        <v>23</v>
      </c>
      <c r="G51" s="3" t="s">
        <v>88</v>
      </c>
      <c r="H51" s="3" t="s">
        <v>7</v>
      </c>
      <c r="I51" s="163" t="s">
        <v>13</v>
      </c>
    </row>
    <row r="52" spans="1:9" x14ac:dyDescent="0.25">
      <c r="A52" s="15">
        <v>4</v>
      </c>
      <c r="B52" s="46">
        <v>6.5277777777777782E-2</v>
      </c>
      <c r="C52" s="38">
        <v>2164</v>
      </c>
      <c r="D52" s="38" t="s">
        <v>10</v>
      </c>
      <c r="E52" s="38" t="s">
        <v>71</v>
      </c>
      <c r="F52" s="38" t="s">
        <v>24</v>
      </c>
      <c r="G52" s="5">
        <v>4</v>
      </c>
      <c r="H52" s="5" t="s">
        <v>7</v>
      </c>
      <c r="I52" s="156" t="s">
        <v>13</v>
      </c>
    </row>
    <row r="53" spans="1:9" x14ac:dyDescent="0.25">
      <c r="A53" s="22">
        <v>5</v>
      </c>
      <c r="B53" s="56">
        <v>7.2916666666666671E-2</v>
      </c>
      <c r="C53" s="43">
        <v>2108</v>
      </c>
      <c r="D53" s="43" t="s">
        <v>97</v>
      </c>
      <c r="E53" s="43" t="s">
        <v>72</v>
      </c>
      <c r="F53" s="43" t="s">
        <v>23</v>
      </c>
      <c r="G53" s="23" t="s">
        <v>73</v>
      </c>
      <c r="H53" s="23" t="s">
        <v>8</v>
      </c>
      <c r="I53" s="161" t="s">
        <v>17</v>
      </c>
    </row>
    <row r="54" spans="1:9" x14ac:dyDescent="0.25">
      <c r="A54" s="15">
        <v>6</v>
      </c>
      <c r="B54" s="46">
        <v>0.14166666666666666</v>
      </c>
      <c r="C54" s="38">
        <v>2164</v>
      </c>
      <c r="D54" s="38" t="s">
        <v>10</v>
      </c>
      <c r="E54" s="38" t="s">
        <v>71</v>
      </c>
      <c r="F54" s="38" t="s">
        <v>24</v>
      </c>
      <c r="G54" s="5">
        <v>3</v>
      </c>
      <c r="H54" s="5" t="s">
        <v>7</v>
      </c>
      <c r="I54" s="156" t="s">
        <v>13</v>
      </c>
    </row>
    <row r="55" spans="1:9" x14ac:dyDescent="0.25">
      <c r="A55" s="15">
        <v>7</v>
      </c>
      <c r="B55" s="46">
        <v>0.34791666666666665</v>
      </c>
      <c r="C55" s="38">
        <v>1279</v>
      </c>
      <c r="D55" s="38" t="s">
        <v>42</v>
      </c>
      <c r="E55" s="38" t="s">
        <v>89</v>
      </c>
      <c r="F55" s="38" t="s">
        <v>90</v>
      </c>
      <c r="G55" s="5">
        <v>3</v>
      </c>
      <c r="H55" s="5" t="s">
        <v>7</v>
      </c>
      <c r="I55" s="156" t="s">
        <v>13</v>
      </c>
    </row>
    <row r="56" spans="1:9" x14ac:dyDescent="0.25">
      <c r="A56" s="15">
        <v>8</v>
      </c>
      <c r="B56" s="46">
        <v>0.38263888888888892</v>
      </c>
      <c r="C56" s="38">
        <v>1753</v>
      </c>
      <c r="D56" s="38" t="s">
        <v>10</v>
      </c>
      <c r="E56" s="38" t="s">
        <v>15</v>
      </c>
      <c r="F56" s="38" t="s">
        <v>12</v>
      </c>
      <c r="G56" s="5">
        <v>5</v>
      </c>
      <c r="H56" s="5" t="s">
        <v>7</v>
      </c>
      <c r="I56" s="156" t="s">
        <v>13</v>
      </c>
    </row>
    <row r="57" spans="1:9" x14ac:dyDescent="0.25">
      <c r="A57" s="15">
        <v>9</v>
      </c>
      <c r="B57" s="46">
        <v>0.4201388888888889</v>
      </c>
      <c r="C57" s="38">
        <v>1755</v>
      </c>
      <c r="D57" s="38" t="s">
        <v>10</v>
      </c>
      <c r="E57" s="38" t="s">
        <v>43</v>
      </c>
      <c r="F57" s="38" t="s">
        <v>12</v>
      </c>
      <c r="G57" s="5">
        <v>3</v>
      </c>
      <c r="H57" s="5" t="s">
        <v>7</v>
      </c>
      <c r="I57" s="156" t="s">
        <v>13</v>
      </c>
    </row>
    <row r="58" spans="1:9" x14ac:dyDescent="0.25">
      <c r="A58" s="22">
        <v>10</v>
      </c>
      <c r="B58" s="56">
        <v>0.50694444444444442</v>
      </c>
      <c r="C58" s="43">
        <v>1279</v>
      </c>
      <c r="D58" s="43" t="s">
        <v>97</v>
      </c>
      <c r="E58" s="57" t="s">
        <v>94</v>
      </c>
      <c r="F58" s="43" t="s">
        <v>91</v>
      </c>
      <c r="G58" s="23" t="s">
        <v>96</v>
      </c>
      <c r="H58" s="23" t="s">
        <v>8</v>
      </c>
      <c r="I58" s="161" t="s">
        <v>13</v>
      </c>
    </row>
    <row r="59" spans="1:9" x14ac:dyDescent="0.25">
      <c r="A59" s="22">
        <v>11</v>
      </c>
      <c r="B59" s="56">
        <v>0.5180555555555556</v>
      </c>
      <c r="C59" s="43">
        <v>1763</v>
      </c>
      <c r="D59" s="43" t="s">
        <v>97</v>
      </c>
      <c r="E59" s="43" t="s">
        <v>92</v>
      </c>
      <c r="F59" s="43" t="s">
        <v>90</v>
      </c>
      <c r="G59" s="23" t="s">
        <v>95</v>
      </c>
      <c r="H59" s="23" t="s">
        <v>8</v>
      </c>
      <c r="I59" s="157" t="s">
        <v>93</v>
      </c>
    </row>
    <row r="60" spans="1:9" x14ac:dyDescent="0.25">
      <c r="A60" s="15">
        <v>12</v>
      </c>
      <c r="B60" s="46">
        <v>0.63194444444444442</v>
      </c>
      <c r="C60" s="38">
        <v>1817</v>
      </c>
      <c r="D60" s="38" t="s">
        <v>42</v>
      </c>
      <c r="E60" s="38" t="s">
        <v>98</v>
      </c>
      <c r="F60" s="38" t="s">
        <v>90</v>
      </c>
      <c r="G60" s="5" t="s">
        <v>99</v>
      </c>
      <c r="H60" s="5" t="s">
        <v>7</v>
      </c>
      <c r="I60" s="156" t="s">
        <v>13</v>
      </c>
    </row>
    <row r="61" spans="1:9" x14ac:dyDescent="0.25">
      <c r="A61" s="15">
        <v>13</v>
      </c>
      <c r="B61" s="46">
        <v>0.63541666666666663</v>
      </c>
      <c r="C61" s="38">
        <v>1800</v>
      </c>
      <c r="D61" s="38" t="s">
        <v>42</v>
      </c>
      <c r="E61" s="66" t="s">
        <v>100</v>
      </c>
      <c r="F61" s="38" t="s">
        <v>103</v>
      </c>
      <c r="G61" s="5" t="s">
        <v>101</v>
      </c>
      <c r="H61" s="5" t="s">
        <v>7</v>
      </c>
      <c r="I61" s="156" t="s">
        <v>17</v>
      </c>
    </row>
    <row r="62" spans="1:9" ht="19.5" thickBot="1" x14ac:dyDescent="0.3">
      <c r="A62" s="173" t="s">
        <v>102</v>
      </c>
      <c r="B62" s="174"/>
      <c r="C62" s="174"/>
      <c r="D62" s="174"/>
      <c r="E62" s="174"/>
      <c r="F62" s="174"/>
      <c r="G62" s="174"/>
      <c r="H62" s="174"/>
      <c r="I62" s="175"/>
    </row>
    <row r="63" spans="1:9" ht="19.5" thickBot="1" x14ac:dyDescent="0.3"/>
    <row r="64" spans="1:9" x14ac:dyDescent="0.25">
      <c r="A64" s="67">
        <v>1</v>
      </c>
      <c r="B64" s="68">
        <v>0.91388888888888886</v>
      </c>
      <c r="C64" s="69">
        <v>1766</v>
      </c>
      <c r="D64" s="69" t="s">
        <v>97</v>
      </c>
      <c r="E64" s="69" t="s">
        <v>104</v>
      </c>
      <c r="F64" s="69" t="s">
        <v>105</v>
      </c>
      <c r="G64" s="70" t="s">
        <v>114</v>
      </c>
      <c r="H64" s="70" t="s">
        <v>7</v>
      </c>
      <c r="I64" s="164" t="s">
        <v>106</v>
      </c>
    </row>
    <row r="65" spans="1:9" x14ac:dyDescent="0.25">
      <c r="A65" s="182">
        <v>46076</v>
      </c>
      <c r="B65" s="183"/>
      <c r="C65" s="183"/>
      <c r="D65" s="183"/>
      <c r="E65" s="183"/>
      <c r="F65" s="183"/>
      <c r="G65" s="183"/>
      <c r="H65" s="183"/>
      <c r="I65" s="184"/>
    </row>
    <row r="66" spans="1:9" x14ac:dyDescent="0.25">
      <c r="A66" s="22">
        <v>2</v>
      </c>
      <c r="B66" s="56">
        <v>6.3194444444444442E-2</v>
      </c>
      <c r="C66" s="43">
        <v>2120</v>
      </c>
      <c r="D66" s="43" t="s">
        <v>107</v>
      </c>
      <c r="E66" s="43" t="s">
        <v>108</v>
      </c>
      <c r="F66" s="43" t="s">
        <v>90</v>
      </c>
      <c r="G66" s="23" t="s">
        <v>110</v>
      </c>
      <c r="H66" s="23" t="s">
        <v>8</v>
      </c>
      <c r="I66" s="157" t="s">
        <v>109</v>
      </c>
    </row>
    <row r="67" spans="1:9" x14ac:dyDescent="0.25">
      <c r="A67" s="15">
        <v>3</v>
      </c>
      <c r="B67" s="46">
        <v>6.3194444444444442E-2</v>
      </c>
      <c r="C67" s="38">
        <v>2164</v>
      </c>
      <c r="D67" s="38" t="s">
        <v>10</v>
      </c>
      <c r="E67" s="38" t="s">
        <v>71</v>
      </c>
      <c r="F67" s="38" t="s">
        <v>24</v>
      </c>
      <c r="G67" s="5">
        <v>4</v>
      </c>
      <c r="H67" s="5" t="s">
        <v>7</v>
      </c>
      <c r="I67" s="156" t="s">
        <v>13</v>
      </c>
    </row>
    <row r="68" spans="1:9" x14ac:dyDescent="0.25">
      <c r="A68" s="15">
        <v>4</v>
      </c>
      <c r="B68" s="46">
        <v>0.58333333333333337</v>
      </c>
      <c r="C68" s="38">
        <v>1538</v>
      </c>
      <c r="D68" s="38" t="s">
        <v>42</v>
      </c>
      <c r="E68" s="38" t="s">
        <v>111</v>
      </c>
      <c r="F68" s="38" t="s">
        <v>91</v>
      </c>
      <c r="G68" s="5">
        <v>8</v>
      </c>
      <c r="H68" s="5" t="s">
        <v>7</v>
      </c>
      <c r="I68" s="156" t="s">
        <v>13</v>
      </c>
    </row>
    <row r="69" spans="1:9" x14ac:dyDescent="0.25">
      <c r="A69" s="22">
        <v>5</v>
      </c>
      <c r="B69" s="56">
        <v>0.59861111111111109</v>
      </c>
      <c r="C69" s="43"/>
      <c r="D69" s="43" t="s">
        <v>97</v>
      </c>
      <c r="E69" s="43" t="s">
        <v>112</v>
      </c>
      <c r="F69" s="43" t="s">
        <v>90</v>
      </c>
      <c r="G69" s="23" t="s">
        <v>113</v>
      </c>
      <c r="H69" s="23" t="s">
        <v>8</v>
      </c>
      <c r="I69" s="161" t="s">
        <v>116</v>
      </c>
    </row>
    <row r="70" spans="1:9" ht="19.5" thickBot="1" x14ac:dyDescent="0.3">
      <c r="A70" s="173" t="s">
        <v>115</v>
      </c>
      <c r="B70" s="174"/>
      <c r="C70" s="174"/>
      <c r="D70" s="174"/>
      <c r="E70" s="174"/>
      <c r="F70" s="174"/>
      <c r="G70" s="174"/>
      <c r="H70" s="174"/>
      <c r="I70" s="175"/>
    </row>
    <row r="71" spans="1:9" ht="19.5" thickBot="1" x14ac:dyDescent="0.3"/>
    <row r="72" spans="1:9" x14ac:dyDescent="0.25">
      <c r="A72" s="185">
        <v>46077</v>
      </c>
      <c r="B72" s="186"/>
      <c r="C72" s="186"/>
      <c r="D72" s="186"/>
      <c r="E72" s="186"/>
      <c r="F72" s="186"/>
      <c r="G72" s="186"/>
      <c r="H72" s="186"/>
      <c r="I72" s="187"/>
    </row>
    <row r="73" spans="1:9" x14ac:dyDescent="0.25">
      <c r="A73" s="15">
        <v>1</v>
      </c>
      <c r="B73" s="46">
        <v>2.9166666666666664E-2</v>
      </c>
      <c r="C73" s="38">
        <v>2164</v>
      </c>
      <c r="D73" s="38" t="s">
        <v>10</v>
      </c>
      <c r="E73" s="38" t="s">
        <v>71</v>
      </c>
      <c r="F73" s="38" t="s">
        <v>24</v>
      </c>
      <c r="G73" s="5">
        <v>3</v>
      </c>
      <c r="H73" s="5" t="s">
        <v>7</v>
      </c>
      <c r="I73" s="156" t="s">
        <v>13</v>
      </c>
    </row>
    <row r="74" spans="1:9" x14ac:dyDescent="0.25">
      <c r="A74" s="15">
        <v>2</v>
      </c>
      <c r="B74" s="46">
        <v>0.10416666666666667</v>
      </c>
      <c r="C74" s="38">
        <v>2164</v>
      </c>
      <c r="D74" s="38" t="s">
        <v>10</v>
      </c>
      <c r="E74" s="38" t="s">
        <v>71</v>
      </c>
      <c r="F74" s="38" t="s">
        <v>24</v>
      </c>
      <c r="G74" s="5">
        <v>3</v>
      </c>
      <c r="H74" s="5" t="s">
        <v>7</v>
      </c>
      <c r="I74" s="156" t="s">
        <v>13</v>
      </c>
    </row>
    <row r="75" spans="1:9" x14ac:dyDescent="0.25">
      <c r="A75" s="15">
        <v>3</v>
      </c>
      <c r="B75" s="46">
        <v>0.2638888888888889</v>
      </c>
      <c r="C75" s="38">
        <v>1742</v>
      </c>
      <c r="D75" s="38" t="s">
        <v>10</v>
      </c>
      <c r="E75" s="38" t="s">
        <v>117</v>
      </c>
      <c r="F75" s="38" t="s">
        <v>91</v>
      </c>
      <c r="G75" s="5" t="s">
        <v>118</v>
      </c>
      <c r="H75" s="5" t="s">
        <v>7</v>
      </c>
      <c r="I75" s="156" t="s">
        <v>13</v>
      </c>
    </row>
    <row r="76" spans="1:9" x14ac:dyDescent="0.25">
      <c r="A76" s="71">
        <v>4</v>
      </c>
      <c r="B76" s="72">
        <v>0.2673611111111111</v>
      </c>
      <c r="C76" s="73">
        <v>1742</v>
      </c>
      <c r="D76" s="73" t="s">
        <v>10</v>
      </c>
      <c r="E76" s="73" t="s">
        <v>117</v>
      </c>
      <c r="F76" s="73" t="s">
        <v>103</v>
      </c>
      <c r="G76" s="74" t="s">
        <v>119</v>
      </c>
      <c r="H76" s="74" t="s">
        <v>7</v>
      </c>
      <c r="I76" s="165" t="s">
        <v>35</v>
      </c>
    </row>
    <row r="77" spans="1:9" x14ac:dyDescent="0.25">
      <c r="A77" s="15">
        <v>5</v>
      </c>
      <c r="B77" s="46">
        <v>0.27083333333333331</v>
      </c>
      <c r="C77" s="38">
        <v>1742</v>
      </c>
      <c r="D77" s="38" t="s">
        <v>10</v>
      </c>
      <c r="E77" s="38" t="s">
        <v>117</v>
      </c>
      <c r="F77" s="38" t="s">
        <v>24</v>
      </c>
      <c r="G77" s="5">
        <v>3</v>
      </c>
      <c r="H77" s="5" t="s">
        <v>7</v>
      </c>
      <c r="I77" s="156" t="s">
        <v>13</v>
      </c>
    </row>
    <row r="78" spans="1:9" x14ac:dyDescent="0.25">
      <c r="A78" s="15">
        <v>6</v>
      </c>
      <c r="B78" s="46">
        <v>0.54375000000000007</v>
      </c>
      <c r="C78" s="38">
        <v>1758</v>
      </c>
      <c r="D78" s="38" t="s">
        <v>10</v>
      </c>
      <c r="E78" s="38" t="s">
        <v>104</v>
      </c>
      <c r="F78" s="38" t="s">
        <v>12</v>
      </c>
      <c r="G78" s="5">
        <v>5</v>
      </c>
      <c r="H78" s="5" t="s">
        <v>7</v>
      </c>
      <c r="I78" s="156" t="s">
        <v>13</v>
      </c>
    </row>
    <row r="79" spans="1:9" ht="19.5" thickBot="1" x14ac:dyDescent="0.3">
      <c r="A79" s="173" t="s">
        <v>120</v>
      </c>
      <c r="B79" s="174"/>
      <c r="C79" s="174"/>
      <c r="D79" s="174"/>
      <c r="E79" s="174"/>
      <c r="F79" s="174"/>
      <c r="G79" s="174"/>
      <c r="H79" s="174"/>
      <c r="I79" s="175"/>
    </row>
    <row r="80" spans="1:9" ht="19.5" thickBot="1" x14ac:dyDescent="0.3"/>
    <row r="81" spans="1:9" x14ac:dyDescent="0.25">
      <c r="A81" s="14">
        <v>1</v>
      </c>
      <c r="B81" s="45">
        <v>0.77847222222222223</v>
      </c>
      <c r="C81" s="37">
        <v>1759</v>
      </c>
      <c r="D81" s="37" t="s">
        <v>10</v>
      </c>
      <c r="E81" s="37" t="s">
        <v>11</v>
      </c>
      <c r="F81" s="37" t="s">
        <v>24</v>
      </c>
      <c r="G81" s="151">
        <v>2</v>
      </c>
      <c r="H81" s="151" t="s">
        <v>7</v>
      </c>
      <c r="I81" s="155" t="s">
        <v>13</v>
      </c>
    </row>
    <row r="82" spans="1:9" x14ac:dyDescent="0.25">
      <c r="A82" s="15">
        <v>2</v>
      </c>
      <c r="B82" s="46">
        <v>0.78194444444444444</v>
      </c>
      <c r="C82" s="38">
        <v>1758</v>
      </c>
      <c r="D82" s="38" t="s">
        <v>10</v>
      </c>
      <c r="E82" s="38" t="s">
        <v>104</v>
      </c>
      <c r="F82" s="38" t="s">
        <v>12</v>
      </c>
      <c r="G82" s="5">
        <v>3</v>
      </c>
      <c r="H82" s="5" t="s">
        <v>7</v>
      </c>
      <c r="I82" s="156" t="s">
        <v>13</v>
      </c>
    </row>
    <row r="83" spans="1:9" x14ac:dyDescent="0.25">
      <c r="A83" s="19">
        <v>3</v>
      </c>
      <c r="B83" s="53">
        <v>0.78194444444444444</v>
      </c>
      <c r="C83" s="41">
        <v>1759</v>
      </c>
      <c r="D83" s="41" t="s">
        <v>10</v>
      </c>
      <c r="E83" s="41" t="s">
        <v>11</v>
      </c>
      <c r="F83" s="41" t="s">
        <v>121</v>
      </c>
      <c r="G83" s="7" t="s">
        <v>122</v>
      </c>
      <c r="H83" s="7" t="s">
        <v>7</v>
      </c>
      <c r="I83" s="159" t="s">
        <v>35</v>
      </c>
    </row>
    <row r="84" spans="1:9" x14ac:dyDescent="0.25">
      <c r="A84" s="19">
        <v>4</v>
      </c>
      <c r="B84" s="53">
        <v>0.7895833333333333</v>
      </c>
      <c r="C84" s="41">
        <v>1759</v>
      </c>
      <c r="D84" s="41" t="s">
        <v>10</v>
      </c>
      <c r="E84" s="41" t="s">
        <v>11</v>
      </c>
      <c r="F84" s="41" t="s">
        <v>123</v>
      </c>
      <c r="G84" s="7">
        <v>3</v>
      </c>
      <c r="H84" s="7" t="s">
        <v>7</v>
      </c>
      <c r="I84" s="159" t="s">
        <v>35</v>
      </c>
    </row>
    <row r="85" spans="1:9" x14ac:dyDescent="0.25">
      <c r="A85" s="19">
        <v>5</v>
      </c>
      <c r="B85" s="53">
        <v>0.82291666666666663</v>
      </c>
      <c r="C85" s="41">
        <v>1759</v>
      </c>
      <c r="D85" s="41" t="s">
        <v>10</v>
      </c>
      <c r="E85" s="41" t="s">
        <v>11</v>
      </c>
      <c r="F85" s="41" t="s">
        <v>121</v>
      </c>
      <c r="G85" s="7" t="s">
        <v>124</v>
      </c>
      <c r="H85" s="7" t="s">
        <v>7</v>
      </c>
      <c r="I85" s="159" t="s">
        <v>35</v>
      </c>
    </row>
    <row r="86" spans="1:9" x14ac:dyDescent="0.25">
      <c r="A86" s="22">
        <v>6</v>
      </c>
      <c r="B86" s="56">
        <v>0.82986111111111116</v>
      </c>
      <c r="C86" s="43">
        <v>1742</v>
      </c>
      <c r="D86" s="43" t="s">
        <v>10</v>
      </c>
      <c r="E86" s="43" t="s">
        <v>117</v>
      </c>
      <c r="F86" s="43" t="s">
        <v>91</v>
      </c>
      <c r="G86" s="23" t="s">
        <v>101</v>
      </c>
      <c r="H86" s="23" t="s">
        <v>8</v>
      </c>
      <c r="I86" s="161" t="s">
        <v>13</v>
      </c>
    </row>
    <row r="87" spans="1:9" ht="19.5" thickBot="1" x14ac:dyDescent="0.3">
      <c r="A87" s="22">
        <v>7</v>
      </c>
      <c r="B87" s="56">
        <v>0.82986111111111116</v>
      </c>
      <c r="C87" s="43">
        <v>1742</v>
      </c>
      <c r="D87" s="43" t="s">
        <v>10</v>
      </c>
      <c r="E87" s="43" t="s">
        <v>117</v>
      </c>
      <c r="F87" s="43" t="s">
        <v>103</v>
      </c>
      <c r="G87" s="23" t="s">
        <v>101</v>
      </c>
      <c r="H87" s="23" t="s">
        <v>8</v>
      </c>
      <c r="I87" s="161" t="s">
        <v>13</v>
      </c>
    </row>
    <row r="88" spans="1:9" x14ac:dyDescent="0.25">
      <c r="A88" s="185">
        <v>46078</v>
      </c>
      <c r="B88" s="186"/>
      <c r="C88" s="186"/>
      <c r="D88" s="186"/>
      <c r="E88" s="186"/>
      <c r="F88" s="186"/>
      <c r="G88" s="186"/>
      <c r="H88" s="186"/>
      <c r="I88" s="187"/>
    </row>
    <row r="89" spans="1:9" x14ac:dyDescent="0.25">
      <c r="A89" s="15">
        <v>8</v>
      </c>
      <c r="B89" s="46">
        <v>7.1527777777777787E-2</v>
      </c>
      <c r="C89" s="38">
        <v>2164</v>
      </c>
      <c r="D89" s="38" t="s">
        <v>10</v>
      </c>
      <c r="E89" s="38" t="s">
        <v>71</v>
      </c>
      <c r="F89" s="38" t="s">
        <v>24</v>
      </c>
      <c r="G89" s="5">
        <v>5</v>
      </c>
      <c r="H89" s="5" t="s">
        <v>7</v>
      </c>
      <c r="I89" s="156" t="s">
        <v>13</v>
      </c>
    </row>
    <row r="90" spans="1:9" x14ac:dyDescent="0.25">
      <c r="A90" s="15">
        <v>9</v>
      </c>
      <c r="B90" s="46">
        <v>0.34027777777777773</v>
      </c>
      <c r="C90" s="38">
        <v>1758</v>
      </c>
      <c r="D90" s="38" t="s">
        <v>10</v>
      </c>
      <c r="E90" s="38" t="s">
        <v>11</v>
      </c>
      <c r="F90" s="38" t="s">
        <v>12</v>
      </c>
      <c r="G90" s="5">
        <v>2</v>
      </c>
      <c r="H90" s="5" t="s">
        <v>7</v>
      </c>
      <c r="I90" s="156" t="s">
        <v>13</v>
      </c>
    </row>
    <row r="91" spans="1:9" x14ac:dyDescent="0.25">
      <c r="A91" s="15">
        <v>10</v>
      </c>
      <c r="B91" s="46">
        <v>0.38541666666666669</v>
      </c>
      <c r="C91" s="38">
        <v>1757</v>
      </c>
      <c r="D91" s="38" t="s">
        <v>10</v>
      </c>
      <c r="E91" s="38" t="s">
        <v>43</v>
      </c>
      <c r="F91" s="38" t="s">
        <v>12</v>
      </c>
      <c r="G91" s="5">
        <v>2</v>
      </c>
      <c r="H91" s="5" t="s">
        <v>7</v>
      </c>
      <c r="I91" s="156" t="s">
        <v>13</v>
      </c>
    </row>
    <row r="92" spans="1:9" x14ac:dyDescent="0.25">
      <c r="A92" s="15">
        <v>11</v>
      </c>
      <c r="B92" s="46">
        <v>0.46875</v>
      </c>
      <c r="C92" s="38">
        <v>1767</v>
      </c>
      <c r="D92" s="38" t="s">
        <v>10</v>
      </c>
      <c r="E92" s="38" t="s">
        <v>104</v>
      </c>
      <c r="F92" s="38" t="s">
        <v>12</v>
      </c>
      <c r="G92" s="5">
        <v>2</v>
      </c>
      <c r="H92" s="5" t="s">
        <v>7</v>
      </c>
      <c r="I92" s="156" t="s">
        <v>13</v>
      </c>
    </row>
    <row r="93" spans="1:9" x14ac:dyDescent="0.25">
      <c r="A93" s="15">
        <v>12</v>
      </c>
      <c r="B93" s="46">
        <v>0.50277777777777777</v>
      </c>
      <c r="C93" s="38">
        <v>1759</v>
      </c>
      <c r="D93" s="38" t="s">
        <v>10</v>
      </c>
      <c r="E93" s="38" t="s">
        <v>43</v>
      </c>
      <c r="F93" s="38" t="s">
        <v>12</v>
      </c>
      <c r="G93" s="5">
        <v>2</v>
      </c>
      <c r="H93" s="5" t="s">
        <v>7</v>
      </c>
      <c r="I93" s="156" t="s">
        <v>13</v>
      </c>
    </row>
    <row r="94" spans="1:9" x14ac:dyDescent="0.25">
      <c r="A94" s="15">
        <v>13</v>
      </c>
      <c r="B94" s="46">
        <v>0.50694444444444442</v>
      </c>
      <c r="C94" s="38">
        <v>2913</v>
      </c>
      <c r="D94" s="38" t="s">
        <v>10</v>
      </c>
      <c r="E94" s="38" t="s">
        <v>125</v>
      </c>
      <c r="F94" s="38" t="s">
        <v>126</v>
      </c>
      <c r="G94" s="5">
        <v>5</v>
      </c>
      <c r="H94" s="5" t="s">
        <v>7</v>
      </c>
      <c r="I94" s="156" t="s">
        <v>13</v>
      </c>
    </row>
    <row r="95" spans="1:9" x14ac:dyDescent="0.25">
      <c r="A95" s="16">
        <v>14</v>
      </c>
      <c r="B95" s="48">
        <v>0.53472222222222221</v>
      </c>
      <c r="C95" s="39">
        <v>1767</v>
      </c>
      <c r="D95" s="39" t="s">
        <v>10</v>
      </c>
      <c r="E95" s="39" t="s">
        <v>104</v>
      </c>
      <c r="F95" s="39" t="s">
        <v>90</v>
      </c>
      <c r="G95" s="4" t="s">
        <v>101</v>
      </c>
      <c r="H95" s="4" t="s">
        <v>7</v>
      </c>
      <c r="I95" s="157" t="s">
        <v>17</v>
      </c>
    </row>
    <row r="96" spans="1:9" ht="19.5" thickBot="1" x14ac:dyDescent="0.3">
      <c r="A96" s="173" t="s">
        <v>127</v>
      </c>
      <c r="B96" s="174"/>
      <c r="C96" s="174"/>
      <c r="D96" s="174"/>
      <c r="E96" s="174"/>
      <c r="F96" s="174"/>
      <c r="G96" s="174"/>
      <c r="H96" s="174"/>
      <c r="I96" s="175"/>
    </row>
    <row r="97" spans="1:9" ht="19.5" thickBot="1" x14ac:dyDescent="0.3">
      <c r="A97" s="79"/>
      <c r="B97" s="79"/>
      <c r="C97" s="79"/>
      <c r="D97" s="79"/>
      <c r="E97" s="79"/>
      <c r="F97" s="79"/>
      <c r="G97" s="152"/>
      <c r="H97" s="152"/>
      <c r="I97" s="152"/>
    </row>
    <row r="98" spans="1:9" x14ac:dyDescent="0.25">
      <c r="A98" s="14">
        <v>1</v>
      </c>
      <c r="B98" s="45">
        <v>0.87569444444444444</v>
      </c>
      <c r="C98" s="37">
        <v>1766</v>
      </c>
      <c r="D98" s="37" t="s">
        <v>10</v>
      </c>
      <c r="E98" s="37" t="s">
        <v>104</v>
      </c>
      <c r="F98" s="37" t="s">
        <v>91</v>
      </c>
      <c r="G98" s="151" t="s">
        <v>131</v>
      </c>
      <c r="H98" s="151" t="s">
        <v>7</v>
      </c>
      <c r="I98" s="155" t="s">
        <v>13</v>
      </c>
    </row>
    <row r="99" spans="1:9" x14ac:dyDescent="0.25">
      <c r="A99" s="15">
        <v>2</v>
      </c>
      <c r="B99" s="46">
        <v>0.87638888888888899</v>
      </c>
      <c r="C99" s="38">
        <v>1765</v>
      </c>
      <c r="D99" s="38" t="s">
        <v>10</v>
      </c>
      <c r="E99" s="38" t="s">
        <v>104</v>
      </c>
      <c r="F99" s="38" t="s">
        <v>121</v>
      </c>
      <c r="G99" s="5" t="s">
        <v>131</v>
      </c>
      <c r="H99" s="5" t="s">
        <v>7</v>
      </c>
      <c r="I99" s="156" t="s">
        <v>13</v>
      </c>
    </row>
    <row r="100" spans="1:9" x14ac:dyDescent="0.25">
      <c r="A100" s="15">
        <v>3</v>
      </c>
      <c r="B100" s="46">
        <v>0.87638888888888899</v>
      </c>
      <c r="C100" s="38">
        <v>1759</v>
      </c>
      <c r="D100" s="38" t="s">
        <v>10</v>
      </c>
      <c r="E100" s="38" t="s">
        <v>104</v>
      </c>
      <c r="F100" s="38" t="s">
        <v>128</v>
      </c>
      <c r="G100" s="5" t="s">
        <v>131</v>
      </c>
      <c r="H100" s="5" t="s">
        <v>7</v>
      </c>
      <c r="I100" s="156" t="s">
        <v>13</v>
      </c>
    </row>
    <row r="101" spans="1:9" x14ac:dyDescent="0.25">
      <c r="A101" s="15">
        <v>4</v>
      </c>
      <c r="B101" s="46">
        <v>0.88055555555555554</v>
      </c>
      <c r="C101" s="38">
        <v>1762</v>
      </c>
      <c r="D101" s="38" t="s">
        <v>10</v>
      </c>
      <c r="E101" s="38" t="s">
        <v>130</v>
      </c>
      <c r="F101" s="38" t="s">
        <v>123</v>
      </c>
      <c r="G101" s="5" t="s">
        <v>132</v>
      </c>
      <c r="H101" s="5" t="s">
        <v>7</v>
      </c>
      <c r="I101" s="156" t="s">
        <v>13</v>
      </c>
    </row>
    <row r="102" spans="1:9" x14ac:dyDescent="0.25">
      <c r="A102" s="15">
        <v>5</v>
      </c>
      <c r="B102" s="46">
        <v>0.88055555555555554</v>
      </c>
      <c r="C102" s="38">
        <v>1752</v>
      </c>
      <c r="D102" s="38" t="s">
        <v>10</v>
      </c>
      <c r="E102" s="38" t="s">
        <v>11</v>
      </c>
      <c r="F102" s="38" t="s">
        <v>129</v>
      </c>
      <c r="G102" s="5" t="s">
        <v>132</v>
      </c>
      <c r="H102" s="5" t="s">
        <v>7</v>
      </c>
      <c r="I102" s="156" t="s">
        <v>13</v>
      </c>
    </row>
    <row r="103" spans="1:9" x14ac:dyDescent="0.25">
      <c r="A103" s="182">
        <v>46079</v>
      </c>
      <c r="B103" s="183"/>
      <c r="C103" s="183"/>
      <c r="D103" s="183"/>
      <c r="E103" s="183"/>
      <c r="F103" s="183"/>
      <c r="G103" s="183"/>
      <c r="H103" s="183"/>
      <c r="I103" s="184"/>
    </row>
    <row r="104" spans="1:9" x14ac:dyDescent="0.25">
      <c r="A104" s="19">
        <v>6</v>
      </c>
      <c r="B104" s="53">
        <v>0.21597222222222223</v>
      </c>
      <c r="C104" s="41">
        <v>2112</v>
      </c>
      <c r="D104" s="41" t="s">
        <v>10</v>
      </c>
      <c r="E104" s="41" t="s">
        <v>27</v>
      </c>
      <c r="F104" s="41" t="s">
        <v>121</v>
      </c>
      <c r="G104" s="7" t="s">
        <v>114</v>
      </c>
      <c r="H104" s="7" t="s">
        <v>7</v>
      </c>
      <c r="I104" s="159" t="s">
        <v>106</v>
      </c>
    </row>
    <row r="105" spans="1:9" x14ac:dyDescent="0.25">
      <c r="A105" s="19">
        <v>7</v>
      </c>
      <c r="B105" s="53">
        <v>0.21597222222222223</v>
      </c>
      <c r="C105" s="41">
        <v>1743</v>
      </c>
      <c r="D105" s="41" t="s">
        <v>10</v>
      </c>
      <c r="E105" s="41" t="s">
        <v>11</v>
      </c>
      <c r="F105" s="41" t="s">
        <v>128</v>
      </c>
      <c r="G105" s="7" t="s">
        <v>114</v>
      </c>
      <c r="H105" s="7" t="s">
        <v>7</v>
      </c>
      <c r="I105" s="159" t="s">
        <v>106</v>
      </c>
    </row>
    <row r="106" spans="1:9" x14ac:dyDescent="0.25">
      <c r="A106" s="22">
        <v>8</v>
      </c>
      <c r="B106" s="56">
        <v>0.4513888888888889</v>
      </c>
      <c r="C106" s="43">
        <v>1752</v>
      </c>
      <c r="D106" s="43" t="s">
        <v>10</v>
      </c>
      <c r="E106" s="43" t="s">
        <v>43</v>
      </c>
      <c r="F106" s="43" t="s">
        <v>103</v>
      </c>
      <c r="G106" s="23" t="s">
        <v>136</v>
      </c>
      <c r="H106" s="23" t="s">
        <v>8</v>
      </c>
      <c r="I106" s="161" t="s">
        <v>13</v>
      </c>
    </row>
    <row r="107" spans="1:9" x14ac:dyDescent="0.25">
      <c r="A107" s="15">
        <v>9</v>
      </c>
      <c r="B107" s="46">
        <v>0.45763888888888887</v>
      </c>
      <c r="C107" s="38">
        <v>1752</v>
      </c>
      <c r="D107" s="38" t="s">
        <v>10</v>
      </c>
      <c r="E107" s="38" t="s">
        <v>43</v>
      </c>
      <c r="F107" s="38" t="s">
        <v>133</v>
      </c>
      <c r="G107" s="5">
        <v>6</v>
      </c>
      <c r="H107" s="5" t="s">
        <v>7</v>
      </c>
      <c r="I107" s="156" t="s">
        <v>13</v>
      </c>
    </row>
    <row r="108" spans="1:9" x14ac:dyDescent="0.25">
      <c r="A108" s="15">
        <v>10</v>
      </c>
      <c r="B108" s="46">
        <v>0.47430555555555554</v>
      </c>
      <c r="C108" s="38">
        <v>2152</v>
      </c>
      <c r="D108" s="38" t="s">
        <v>10</v>
      </c>
      <c r="E108" s="38" t="s">
        <v>134</v>
      </c>
      <c r="F108" s="38" t="s">
        <v>135</v>
      </c>
      <c r="G108" s="5">
        <v>6</v>
      </c>
      <c r="H108" s="5" t="s">
        <v>7</v>
      </c>
      <c r="I108" s="156" t="s">
        <v>13</v>
      </c>
    </row>
    <row r="109" spans="1:9" x14ac:dyDescent="0.25">
      <c r="A109" s="15">
        <v>11</v>
      </c>
      <c r="B109" s="46">
        <v>0.55347222222222225</v>
      </c>
      <c r="C109" s="38">
        <v>1752</v>
      </c>
      <c r="D109" s="38" t="s">
        <v>10</v>
      </c>
      <c r="E109" s="38" t="s">
        <v>43</v>
      </c>
      <c r="F109" s="38" t="s">
        <v>12</v>
      </c>
      <c r="G109" s="5">
        <v>3</v>
      </c>
      <c r="H109" s="5" t="s">
        <v>7</v>
      </c>
      <c r="I109" s="156" t="s">
        <v>13</v>
      </c>
    </row>
    <row r="110" spans="1:9" x14ac:dyDescent="0.25">
      <c r="A110" s="15">
        <v>11</v>
      </c>
      <c r="B110" s="46">
        <v>0.55347222222222225</v>
      </c>
      <c r="C110" s="38">
        <v>1752</v>
      </c>
      <c r="D110" s="38" t="s">
        <v>10</v>
      </c>
      <c r="E110" s="38" t="s">
        <v>43</v>
      </c>
      <c r="F110" s="38" t="s">
        <v>137</v>
      </c>
      <c r="G110" s="5">
        <v>2</v>
      </c>
      <c r="H110" s="5" t="s">
        <v>7</v>
      </c>
      <c r="I110" s="156" t="s">
        <v>13</v>
      </c>
    </row>
    <row r="111" spans="1:9" x14ac:dyDescent="0.25">
      <c r="A111" s="15">
        <v>12</v>
      </c>
      <c r="B111" s="46">
        <v>0.58333333333333337</v>
      </c>
      <c r="C111" s="38">
        <v>1752</v>
      </c>
      <c r="D111" s="38" t="s">
        <v>10</v>
      </c>
      <c r="E111" s="38" t="s">
        <v>43</v>
      </c>
      <c r="F111" s="38" t="s">
        <v>103</v>
      </c>
      <c r="G111" s="5">
        <v>4</v>
      </c>
      <c r="H111" s="5" t="s">
        <v>7</v>
      </c>
      <c r="I111" s="156" t="s">
        <v>13</v>
      </c>
    </row>
    <row r="112" spans="1:9" x14ac:dyDescent="0.25">
      <c r="A112" s="15">
        <v>13</v>
      </c>
      <c r="B112" s="46">
        <v>0.59722222222222221</v>
      </c>
      <c r="C112" s="38">
        <v>1752</v>
      </c>
      <c r="D112" s="38" t="s">
        <v>10</v>
      </c>
      <c r="E112" s="38" t="s">
        <v>43</v>
      </c>
      <c r="F112" s="38" t="s">
        <v>137</v>
      </c>
      <c r="G112" s="5">
        <v>8</v>
      </c>
      <c r="H112" s="5" t="s">
        <v>7</v>
      </c>
      <c r="I112" s="156" t="s">
        <v>13</v>
      </c>
    </row>
    <row r="113" spans="1:12" ht="19.5" thickBot="1" x14ac:dyDescent="0.3">
      <c r="A113" s="173" t="s">
        <v>138</v>
      </c>
      <c r="B113" s="174"/>
      <c r="C113" s="174"/>
      <c r="D113" s="174"/>
      <c r="E113" s="174"/>
      <c r="F113" s="174"/>
      <c r="G113" s="174"/>
      <c r="H113" s="174"/>
      <c r="I113" s="175"/>
    </row>
    <row r="114" spans="1:12" ht="19.5" thickBot="1" x14ac:dyDescent="0.3"/>
    <row r="115" spans="1:12" x14ac:dyDescent="0.25">
      <c r="A115" s="14">
        <v>1</v>
      </c>
      <c r="B115" s="45">
        <v>0.68402777777777779</v>
      </c>
      <c r="C115" s="37">
        <v>1752</v>
      </c>
      <c r="D115" s="37" t="s">
        <v>10</v>
      </c>
      <c r="E115" s="37" t="s">
        <v>43</v>
      </c>
      <c r="F115" s="37" t="s">
        <v>90</v>
      </c>
      <c r="G115" s="151">
        <v>4</v>
      </c>
      <c r="H115" s="151" t="s">
        <v>7</v>
      </c>
      <c r="I115" s="155" t="s">
        <v>13</v>
      </c>
    </row>
    <row r="116" spans="1:12" x14ac:dyDescent="0.25">
      <c r="A116" s="15">
        <v>2</v>
      </c>
      <c r="B116" s="46">
        <v>0.71180555555555547</v>
      </c>
      <c r="C116" s="38">
        <v>1752</v>
      </c>
      <c r="D116" s="38" t="s">
        <v>10</v>
      </c>
      <c r="E116" s="38" t="s">
        <v>43</v>
      </c>
      <c r="F116" s="38" t="s">
        <v>139</v>
      </c>
      <c r="G116" s="5">
        <v>3</v>
      </c>
      <c r="H116" s="5" t="s">
        <v>7</v>
      </c>
      <c r="I116" s="156" t="s">
        <v>13</v>
      </c>
    </row>
    <row r="117" spans="1:12" x14ac:dyDescent="0.25">
      <c r="A117" s="15">
        <v>3</v>
      </c>
      <c r="B117" s="46">
        <v>0.77083333333333337</v>
      </c>
      <c r="C117" s="38">
        <v>1768</v>
      </c>
      <c r="D117" s="38" t="s">
        <v>10</v>
      </c>
      <c r="E117" s="38" t="s">
        <v>43</v>
      </c>
      <c r="F117" s="38" t="s">
        <v>90</v>
      </c>
      <c r="G117" s="5">
        <v>5</v>
      </c>
      <c r="H117" s="5" t="s">
        <v>7</v>
      </c>
      <c r="I117" s="156" t="s">
        <v>13</v>
      </c>
    </row>
    <row r="118" spans="1:12" x14ac:dyDescent="0.25">
      <c r="A118" s="182">
        <v>46080</v>
      </c>
      <c r="B118" s="183"/>
      <c r="C118" s="183"/>
      <c r="D118" s="183"/>
      <c r="E118" s="183"/>
      <c r="F118" s="183"/>
      <c r="G118" s="183"/>
      <c r="H118" s="183"/>
      <c r="I118" s="184"/>
    </row>
    <row r="119" spans="1:12" x14ac:dyDescent="0.25">
      <c r="A119" s="15">
        <v>4</v>
      </c>
      <c r="B119" s="46">
        <v>6.25E-2</v>
      </c>
      <c r="C119" s="38">
        <v>1749</v>
      </c>
      <c r="D119" s="38" t="s">
        <v>10</v>
      </c>
      <c r="E119" s="38" t="s">
        <v>140</v>
      </c>
      <c r="F119" s="38" t="s">
        <v>90</v>
      </c>
      <c r="G119" s="5" t="s">
        <v>124</v>
      </c>
      <c r="H119" s="5" t="s">
        <v>7</v>
      </c>
      <c r="I119" s="156" t="s">
        <v>13</v>
      </c>
    </row>
    <row r="120" spans="1:12" s="75" customFormat="1" x14ac:dyDescent="0.25">
      <c r="A120" s="80">
        <v>5</v>
      </c>
      <c r="B120" s="76">
        <v>0.37708333333333338</v>
      </c>
      <c r="C120" s="77">
        <v>1789</v>
      </c>
      <c r="D120" s="77" t="s">
        <v>141</v>
      </c>
      <c r="E120" s="77" t="s">
        <v>67</v>
      </c>
      <c r="F120" s="77" t="s">
        <v>139</v>
      </c>
      <c r="G120" s="78">
        <v>7</v>
      </c>
      <c r="H120" s="78" t="s">
        <v>7</v>
      </c>
      <c r="I120" s="166" t="s">
        <v>35</v>
      </c>
      <c r="J120" s="6"/>
      <c r="K120" s="6"/>
      <c r="L120" s="6"/>
    </row>
    <row r="121" spans="1:12" x14ac:dyDescent="0.25">
      <c r="A121" s="15">
        <v>6</v>
      </c>
      <c r="B121" s="46">
        <v>0.47013888888888888</v>
      </c>
      <c r="C121" s="38">
        <v>1752</v>
      </c>
      <c r="D121" s="38" t="s">
        <v>10</v>
      </c>
      <c r="E121" s="38" t="s">
        <v>43</v>
      </c>
      <c r="F121" s="38" t="s">
        <v>142</v>
      </c>
      <c r="G121" s="5">
        <v>3</v>
      </c>
      <c r="H121" s="5" t="s">
        <v>7</v>
      </c>
      <c r="I121" s="156" t="s">
        <v>13</v>
      </c>
    </row>
    <row r="122" spans="1:12" s="2" customFormat="1" x14ac:dyDescent="0.25">
      <c r="A122" s="22">
        <v>7</v>
      </c>
      <c r="B122" s="56">
        <v>0.54236111111111118</v>
      </c>
      <c r="C122" s="43">
        <v>1789</v>
      </c>
      <c r="D122" s="43" t="s">
        <v>141</v>
      </c>
      <c r="E122" s="43" t="s">
        <v>67</v>
      </c>
      <c r="F122" s="43" t="s">
        <v>90</v>
      </c>
      <c r="G122" s="24" t="s">
        <v>118</v>
      </c>
      <c r="H122" s="23" t="s">
        <v>8</v>
      </c>
      <c r="I122" s="161" t="s">
        <v>13</v>
      </c>
      <c r="J122" s="6"/>
      <c r="K122" s="6"/>
      <c r="L122" s="6"/>
    </row>
    <row r="123" spans="1:12" x14ac:dyDescent="0.25">
      <c r="A123" s="15">
        <v>8</v>
      </c>
      <c r="B123" s="46">
        <v>0.55208333333333337</v>
      </c>
      <c r="C123" s="38">
        <v>1752</v>
      </c>
      <c r="D123" s="38" t="s">
        <v>97</v>
      </c>
      <c r="E123" s="38" t="s">
        <v>43</v>
      </c>
      <c r="F123" s="38" t="s">
        <v>24</v>
      </c>
      <c r="G123" s="5" t="s">
        <v>143</v>
      </c>
      <c r="H123" s="5" t="s">
        <v>7</v>
      </c>
      <c r="I123" s="156" t="s">
        <v>13</v>
      </c>
    </row>
    <row r="124" spans="1:12" s="75" customFormat="1" x14ac:dyDescent="0.25">
      <c r="A124" s="80">
        <v>9</v>
      </c>
      <c r="B124" s="76">
        <v>0.55208333333333337</v>
      </c>
      <c r="C124" s="77">
        <v>1789</v>
      </c>
      <c r="D124" s="77" t="s">
        <v>141</v>
      </c>
      <c r="E124" s="77" t="s">
        <v>67</v>
      </c>
      <c r="F124" s="77" t="s">
        <v>90</v>
      </c>
      <c r="G124" s="78">
        <v>5</v>
      </c>
      <c r="H124" s="78" t="s">
        <v>7</v>
      </c>
      <c r="I124" s="166" t="s">
        <v>35</v>
      </c>
      <c r="J124" s="6"/>
      <c r="K124" s="6"/>
      <c r="L124" s="6"/>
    </row>
    <row r="125" spans="1:12" s="75" customFormat="1" x14ac:dyDescent="0.25">
      <c r="A125" s="80">
        <v>10</v>
      </c>
      <c r="B125" s="76">
        <v>0.57986111111111105</v>
      </c>
      <c r="C125" s="77">
        <v>1789</v>
      </c>
      <c r="D125" s="77" t="s">
        <v>141</v>
      </c>
      <c r="E125" s="77" t="s">
        <v>67</v>
      </c>
      <c r="F125" s="77" t="s">
        <v>91</v>
      </c>
      <c r="G125" s="78">
        <v>5</v>
      </c>
      <c r="H125" s="78" t="s">
        <v>7</v>
      </c>
      <c r="I125" s="166" t="s">
        <v>35</v>
      </c>
      <c r="J125" s="6"/>
      <c r="K125" s="6"/>
      <c r="L125" s="6"/>
    </row>
    <row r="126" spans="1:12" x14ac:dyDescent="0.25">
      <c r="A126" s="15">
        <v>11</v>
      </c>
      <c r="B126" s="46">
        <v>0.58472222222222225</v>
      </c>
      <c r="C126" s="38">
        <v>1758</v>
      </c>
      <c r="D126" s="38" t="s">
        <v>97</v>
      </c>
      <c r="E126" s="38" t="s">
        <v>43</v>
      </c>
      <c r="F126" s="38" t="s">
        <v>142</v>
      </c>
      <c r="G126" s="5">
        <v>2</v>
      </c>
      <c r="H126" s="5" t="s">
        <v>7</v>
      </c>
      <c r="I126" s="156" t="s">
        <v>13</v>
      </c>
    </row>
    <row r="127" spans="1:12" x14ac:dyDescent="0.25">
      <c r="A127" s="15">
        <v>12</v>
      </c>
      <c r="B127" s="46">
        <v>0.59375</v>
      </c>
      <c r="C127" s="38">
        <v>1752</v>
      </c>
      <c r="D127" s="38" t="s">
        <v>97</v>
      </c>
      <c r="E127" s="38" t="s">
        <v>43</v>
      </c>
      <c r="F127" s="38" t="s">
        <v>24</v>
      </c>
      <c r="G127" s="5" t="s">
        <v>144</v>
      </c>
      <c r="H127" s="5" t="s">
        <v>7</v>
      </c>
      <c r="I127" s="156" t="s">
        <v>13</v>
      </c>
    </row>
    <row r="128" spans="1:12" ht="19.5" thickBot="1" x14ac:dyDescent="0.3">
      <c r="A128" s="17">
        <v>13</v>
      </c>
      <c r="B128" s="50">
        <v>0.62638888888888888</v>
      </c>
      <c r="C128" s="40">
        <v>1739</v>
      </c>
      <c r="D128" s="40" t="s">
        <v>97</v>
      </c>
      <c r="E128" s="40" t="s">
        <v>117</v>
      </c>
      <c r="F128" s="40" t="s">
        <v>24</v>
      </c>
      <c r="G128" s="18">
        <v>5</v>
      </c>
      <c r="H128" s="18" t="s">
        <v>7</v>
      </c>
      <c r="I128" s="158" t="s">
        <v>13</v>
      </c>
    </row>
    <row r="129" spans="1:9" ht="19.5" thickBot="1" x14ac:dyDescent="0.3"/>
    <row r="130" spans="1:9" x14ac:dyDescent="0.25">
      <c r="A130" s="14">
        <v>1</v>
      </c>
      <c r="B130" s="45">
        <v>0.7402777777777777</v>
      </c>
      <c r="C130" s="37">
        <v>1751</v>
      </c>
      <c r="D130" s="37" t="s">
        <v>97</v>
      </c>
      <c r="E130" s="37" t="s">
        <v>11</v>
      </c>
      <c r="F130" s="37" t="s">
        <v>24</v>
      </c>
      <c r="G130" s="151" t="s">
        <v>145</v>
      </c>
      <c r="H130" s="151" t="s">
        <v>7</v>
      </c>
      <c r="I130" s="155" t="s">
        <v>13</v>
      </c>
    </row>
    <row r="131" spans="1:9" x14ac:dyDescent="0.25">
      <c r="A131" s="15">
        <v>2</v>
      </c>
      <c r="B131" s="46">
        <v>0.75347222222222221</v>
      </c>
      <c r="C131" s="38">
        <v>1752</v>
      </c>
      <c r="D131" s="38" t="s">
        <v>10</v>
      </c>
      <c r="E131" s="38" t="s">
        <v>11</v>
      </c>
      <c r="F131" s="38" t="s">
        <v>142</v>
      </c>
      <c r="G131" s="5">
        <v>3</v>
      </c>
      <c r="H131" s="5" t="s">
        <v>7</v>
      </c>
      <c r="I131" s="156" t="s">
        <v>13</v>
      </c>
    </row>
    <row r="132" spans="1:9" x14ac:dyDescent="0.25">
      <c r="A132" s="15">
        <v>3</v>
      </c>
      <c r="B132" s="46">
        <v>0.7680555555555556</v>
      </c>
      <c r="C132" s="38">
        <v>1751</v>
      </c>
      <c r="D132" s="38" t="s">
        <v>10</v>
      </c>
      <c r="E132" s="38" t="s">
        <v>11</v>
      </c>
      <c r="F132" s="38" t="s">
        <v>24</v>
      </c>
      <c r="G132" s="5">
        <v>3</v>
      </c>
      <c r="H132" s="5" t="s">
        <v>7</v>
      </c>
      <c r="I132" s="156" t="s">
        <v>13</v>
      </c>
    </row>
    <row r="133" spans="1:9" x14ac:dyDescent="0.25">
      <c r="A133" s="15">
        <v>4</v>
      </c>
      <c r="B133" s="46">
        <v>0.81944444444444453</v>
      </c>
      <c r="C133" s="38">
        <v>1765</v>
      </c>
      <c r="D133" s="38" t="s">
        <v>10</v>
      </c>
      <c r="E133" s="38" t="s">
        <v>130</v>
      </c>
      <c r="F133" s="38" t="s">
        <v>146</v>
      </c>
      <c r="G133" s="5">
        <v>3</v>
      </c>
      <c r="H133" s="5" t="s">
        <v>7</v>
      </c>
      <c r="I133" s="156" t="s">
        <v>13</v>
      </c>
    </row>
    <row r="134" spans="1:9" x14ac:dyDescent="0.25">
      <c r="A134" s="182">
        <v>46081</v>
      </c>
      <c r="B134" s="183"/>
      <c r="C134" s="183"/>
      <c r="D134" s="183"/>
      <c r="E134" s="183"/>
      <c r="F134" s="183"/>
      <c r="G134" s="183"/>
      <c r="H134" s="183"/>
      <c r="I134" s="184"/>
    </row>
    <row r="135" spans="1:9" x14ac:dyDescent="0.25">
      <c r="A135" s="15">
        <v>5</v>
      </c>
      <c r="B135" s="46">
        <v>0.14027777777777778</v>
      </c>
      <c r="C135" s="38">
        <v>1751</v>
      </c>
      <c r="D135" s="38" t="s">
        <v>10</v>
      </c>
      <c r="E135" s="38" t="s">
        <v>11</v>
      </c>
      <c r="F135" s="38" t="s">
        <v>146</v>
      </c>
      <c r="G135" s="5">
        <v>1</v>
      </c>
      <c r="H135" s="5" t="s">
        <v>7</v>
      </c>
      <c r="I135" s="156" t="s">
        <v>13</v>
      </c>
    </row>
    <row r="136" spans="1:9" x14ac:dyDescent="0.25">
      <c r="A136" s="15">
        <v>6</v>
      </c>
      <c r="B136" s="46">
        <v>0.19375000000000001</v>
      </c>
      <c r="C136" s="38">
        <v>1780</v>
      </c>
      <c r="D136" s="38" t="s">
        <v>10</v>
      </c>
      <c r="E136" s="38" t="s">
        <v>67</v>
      </c>
      <c r="F136" s="38" t="s">
        <v>147</v>
      </c>
      <c r="G136" s="5">
        <v>14</v>
      </c>
      <c r="H136" s="5" t="s">
        <v>7</v>
      </c>
      <c r="I136" s="156" t="s">
        <v>13</v>
      </c>
    </row>
    <row r="137" spans="1:9" x14ac:dyDescent="0.25">
      <c r="A137" s="15">
        <v>7</v>
      </c>
      <c r="B137" s="46">
        <v>0.3263888888888889</v>
      </c>
      <c r="C137" s="38">
        <v>1752</v>
      </c>
      <c r="D137" s="38" t="s">
        <v>10</v>
      </c>
      <c r="E137" s="38" t="s">
        <v>43</v>
      </c>
      <c r="F137" s="38" t="s">
        <v>142</v>
      </c>
      <c r="G137" s="5">
        <v>3</v>
      </c>
      <c r="H137" s="5" t="s">
        <v>7</v>
      </c>
      <c r="I137" s="156" t="s">
        <v>13</v>
      </c>
    </row>
    <row r="138" spans="1:9" x14ac:dyDescent="0.25">
      <c r="A138" s="15">
        <v>8</v>
      </c>
      <c r="B138" s="46">
        <v>0.44444444444444442</v>
      </c>
      <c r="C138" s="38">
        <v>1752</v>
      </c>
      <c r="D138" s="38" t="s">
        <v>10</v>
      </c>
      <c r="E138" s="38" t="s">
        <v>43</v>
      </c>
      <c r="F138" s="38" t="s">
        <v>24</v>
      </c>
      <c r="G138" s="5" t="s">
        <v>150</v>
      </c>
      <c r="H138" s="5" t="s">
        <v>7</v>
      </c>
      <c r="I138" s="156" t="s">
        <v>13</v>
      </c>
    </row>
    <row r="139" spans="1:9" x14ac:dyDescent="0.25">
      <c r="A139" s="22">
        <v>9</v>
      </c>
      <c r="B139" s="56">
        <v>0.46527777777777773</v>
      </c>
      <c r="C139" s="43">
        <v>1540</v>
      </c>
      <c r="D139" s="43" t="s">
        <v>151</v>
      </c>
      <c r="E139" s="57" t="s">
        <v>152</v>
      </c>
      <c r="F139" s="43" t="s">
        <v>153</v>
      </c>
      <c r="G139" s="23" t="s">
        <v>154</v>
      </c>
      <c r="H139" s="23" t="s">
        <v>8</v>
      </c>
      <c r="I139" s="161" t="s">
        <v>13</v>
      </c>
    </row>
    <row r="140" spans="1:9" x14ac:dyDescent="0.25">
      <c r="A140" s="22">
        <v>10</v>
      </c>
      <c r="B140" s="56">
        <v>0.50347222222222221</v>
      </c>
      <c r="C140" s="43">
        <v>2109</v>
      </c>
      <c r="D140" s="43" t="s">
        <v>155</v>
      </c>
      <c r="E140" s="57" t="s">
        <v>156</v>
      </c>
      <c r="F140" s="43" t="s">
        <v>90</v>
      </c>
      <c r="G140" s="23" t="s">
        <v>158</v>
      </c>
      <c r="H140" s="23" t="s">
        <v>8</v>
      </c>
      <c r="I140" s="157" t="s">
        <v>93</v>
      </c>
    </row>
    <row r="141" spans="1:9" x14ac:dyDescent="0.25">
      <c r="A141" s="15">
        <v>11</v>
      </c>
      <c r="B141" s="46">
        <v>0.5083333333333333</v>
      </c>
      <c r="C141" s="38">
        <v>2164</v>
      </c>
      <c r="D141" s="38" t="s">
        <v>10</v>
      </c>
      <c r="E141" s="66" t="s">
        <v>157</v>
      </c>
      <c r="F141" s="38" t="s">
        <v>24</v>
      </c>
      <c r="G141" s="5">
        <v>4</v>
      </c>
      <c r="H141" s="5" t="s">
        <v>7</v>
      </c>
      <c r="I141" s="156" t="s">
        <v>13</v>
      </c>
    </row>
    <row r="142" spans="1:9" x14ac:dyDescent="0.25">
      <c r="A142" s="15">
        <v>12</v>
      </c>
      <c r="B142" s="46">
        <v>0.55972222222222223</v>
      </c>
      <c r="C142" s="38">
        <v>1752</v>
      </c>
      <c r="D142" s="38" t="s">
        <v>10</v>
      </c>
      <c r="E142" s="38" t="s">
        <v>43</v>
      </c>
      <c r="F142" s="38" t="s">
        <v>24</v>
      </c>
      <c r="G142" s="5" t="s">
        <v>159</v>
      </c>
      <c r="H142" s="5" t="s">
        <v>7</v>
      </c>
      <c r="I142" s="156" t="s">
        <v>13</v>
      </c>
    </row>
    <row r="143" spans="1:9" ht="19.5" thickBot="1" x14ac:dyDescent="0.3">
      <c r="A143" s="173" t="s">
        <v>160</v>
      </c>
      <c r="B143" s="174"/>
      <c r="C143" s="174"/>
      <c r="D143" s="174"/>
      <c r="E143" s="174"/>
      <c r="F143" s="174"/>
      <c r="G143" s="174"/>
      <c r="H143" s="174"/>
      <c r="I143" s="175"/>
    </row>
    <row r="144" spans="1:9" ht="19.5" thickBot="1" x14ac:dyDescent="0.3"/>
    <row r="145" spans="1:9" x14ac:dyDescent="0.25">
      <c r="A145" s="185">
        <v>46082</v>
      </c>
      <c r="B145" s="186"/>
      <c r="C145" s="186"/>
      <c r="D145" s="186"/>
      <c r="E145" s="186"/>
      <c r="F145" s="186"/>
      <c r="G145" s="186"/>
      <c r="H145" s="186"/>
      <c r="I145" s="187"/>
    </row>
    <row r="146" spans="1:9" x14ac:dyDescent="0.25">
      <c r="A146" s="15">
        <v>1</v>
      </c>
      <c r="B146" s="38">
        <v>1765</v>
      </c>
      <c r="C146" s="38">
        <v>1765</v>
      </c>
      <c r="D146" s="38" t="s">
        <v>10</v>
      </c>
      <c r="E146" s="38" t="s">
        <v>130</v>
      </c>
      <c r="F146" s="38" t="s">
        <v>146</v>
      </c>
      <c r="G146" s="5">
        <v>2</v>
      </c>
      <c r="H146" s="5" t="s">
        <v>7</v>
      </c>
      <c r="I146" s="156" t="s">
        <v>13</v>
      </c>
    </row>
    <row r="147" spans="1:9" x14ac:dyDescent="0.25">
      <c r="A147" s="15">
        <v>2</v>
      </c>
      <c r="B147" s="46">
        <v>0.27083333333333331</v>
      </c>
      <c r="C147" s="38">
        <v>1759</v>
      </c>
      <c r="D147" s="38" t="s">
        <v>10</v>
      </c>
      <c r="E147" s="38" t="s">
        <v>11</v>
      </c>
      <c r="F147" s="38" t="s">
        <v>24</v>
      </c>
      <c r="G147" s="5" t="s">
        <v>163</v>
      </c>
      <c r="H147" s="5" t="s">
        <v>7</v>
      </c>
      <c r="I147" s="156" t="s">
        <v>13</v>
      </c>
    </row>
    <row r="148" spans="1:9" x14ac:dyDescent="0.25">
      <c r="A148" s="15">
        <v>3</v>
      </c>
      <c r="B148" s="46">
        <v>0.31944444444444448</v>
      </c>
      <c r="C148" s="38">
        <v>1756</v>
      </c>
      <c r="D148" s="38" t="s">
        <v>10</v>
      </c>
      <c r="E148" s="38" t="s">
        <v>43</v>
      </c>
      <c r="F148" s="38" t="s">
        <v>12</v>
      </c>
      <c r="G148" s="5">
        <v>1</v>
      </c>
      <c r="H148" s="5" t="s">
        <v>7</v>
      </c>
      <c r="I148" s="156" t="s">
        <v>13</v>
      </c>
    </row>
    <row r="149" spans="1:9" x14ac:dyDescent="0.25">
      <c r="A149" s="22">
        <v>4</v>
      </c>
      <c r="B149" s="56">
        <v>0.4069444444444445</v>
      </c>
      <c r="C149" s="43">
        <v>2109</v>
      </c>
      <c r="D149" s="43" t="s">
        <v>97</v>
      </c>
      <c r="E149" s="57" t="s">
        <v>156</v>
      </c>
      <c r="F149" s="43" t="s">
        <v>90</v>
      </c>
      <c r="G149" s="23" t="s">
        <v>113</v>
      </c>
      <c r="H149" s="23" t="s">
        <v>8</v>
      </c>
      <c r="I149" s="161" t="s">
        <v>13</v>
      </c>
    </row>
    <row r="150" spans="1:9" x14ac:dyDescent="0.25">
      <c r="A150" s="15">
        <v>5</v>
      </c>
      <c r="B150" s="46">
        <v>0.46180555555555558</v>
      </c>
      <c r="C150" s="38">
        <v>3862</v>
      </c>
      <c r="D150" s="38" t="s">
        <v>10</v>
      </c>
      <c r="E150" s="38" t="s">
        <v>164</v>
      </c>
      <c r="F150" s="38" t="s">
        <v>91</v>
      </c>
      <c r="G150" s="5">
        <v>2</v>
      </c>
      <c r="H150" s="5" t="s">
        <v>7</v>
      </c>
      <c r="I150" s="156" t="s">
        <v>13</v>
      </c>
    </row>
    <row r="151" spans="1:9" x14ac:dyDescent="0.25">
      <c r="A151" s="22">
        <v>6</v>
      </c>
      <c r="B151" s="56">
        <v>0.53472222222222221</v>
      </c>
      <c r="C151" s="43">
        <v>1747</v>
      </c>
      <c r="D151" s="43" t="s">
        <v>97</v>
      </c>
      <c r="E151" s="43" t="s">
        <v>11</v>
      </c>
      <c r="F151" s="43" t="s">
        <v>139</v>
      </c>
      <c r="G151" s="23" t="s">
        <v>101</v>
      </c>
      <c r="H151" s="23" t="s">
        <v>8</v>
      </c>
      <c r="I151" s="161" t="s">
        <v>13</v>
      </c>
    </row>
    <row r="152" spans="1:9" ht="19.5" thickBot="1" x14ac:dyDescent="0.3">
      <c r="A152" s="173" t="s">
        <v>165</v>
      </c>
      <c r="B152" s="174"/>
      <c r="C152" s="174"/>
      <c r="D152" s="174"/>
      <c r="E152" s="174"/>
      <c r="F152" s="174"/>
      <c r="G152" s="174"/>
      <c r="H152" s="174"/>
      <c r="I152" s="175"/>
    </row>
    <row r="153" spans="1:9" ht="19.5" thickBot="1" x14ac:dyDescent="0.3"/>
    <row r="154" spans="1:9" x14ac:dyDescent="0.25">
      <c r="A154" s="83">
        <v>1</v>
      </c>
      <c r="B154" s="84">
        <v>0.73611111111111116</v>
      </c>
      <c r="C154" s="85">
        <v>1750</v>
      </c>
      <c r="D154" s="85" t="s">
        <v>10</v>
      </c>
      <c r="E154" s="85" t="s">
        <v>11</v>
      </c>
      <c r="F154" s="85" t="s">
        <v>90</v>
      </c>
      <c r="G154" s="86" t="s">
        <v>174</v>
      </c>
      <c r="H154" s="86" t="s">
        <v>7</v>
      </c>
      <c r="I154" s="167" t="s">
        <v>13</v>
      </c>
    </row>
    <row r="155" spans="1:9" x14ac:dyDescent="0.25">
      <c r="A155" s="182">
        <v>46083</v>
      </c>
      <c r="B155" s="183"/>
      <c r="C155" s="183"/>
      <c r="D155" s="183"/>
      <c r="E155" s="183"/>
      <c r="F155" s="183"/>
      <c r="G155" s="183"/>
      <c r="H155" s="183"/>
      <c r="I155" s="184"/>
    </row>
    <row r="156" spans="1:9" x14ac:dyDescent="0.25">
      <c r="A156" s="15">
        <v>2</v>
      </c>
      <c r="B156" s="46">
        <v>9.7222222222222224E-3</v>
      </c>
      <c r="C156" s="38">
        <v>1767</v>
      </c>
      <c r="D156" s="38" t="s">
        <v>10</v>
      </c>
      <c r="E156" s="38" t="s">
        <v>104</v>
      </c>
      <c r="F156" s="38" t="s">
        <v>166</v>
      </c>
      <c r="G156" s="5">
        <v>2</v>
      </c>
      <c r="H156" s="5" t="s">
        <v>7</v>
      </c>
      <c r="I156" s="156" t="s">
        <v>13</v>
      </c>
    </row>
    <row r="157" spans="1:9" x14ac:dyDescent="0.25">
      <c r="A157" s="15">
        <v>3</v>
      </c>
      <c r="B157" s="46">
        <v>3.4722222222222224E-2</v>
      </c>
      <c r="C157" s="38">
        <v>1743</v>
      </c>
      <c r="D157" s="38" t="s">
        <v>10</v>
      </c>
      <c r="E157" s="38" t="s">
        <v>167</v>
      </c>
      <c r="F157" s="38" t="s">
        <v>24</v>
      </c>
      <c r="G157" s="5">
        <v>2</v>
      </c>
      <c r="H157" s="5" t="s">
        <v>7</v>
      </c>
      <c r="I157" s="156" t="s">
        <v>13</v>
      </c>
    </row>
    <row r="158" spans="1:9" x14ac:dyDescent="0.25">
      <c r="A158" s="15">
        <v>4</v>
      </c>
      <c r="B158" s="46">
        <v>9.375E-2</v>
      </c>
      <c r="C158" s="38">
        <v>1551</v>
      </c>
      <c r="D158" s="38" t="s">
        <v>10</v>
      </c>
      <c r="E158" s="38" t="s">
        <v>11</v>
      </c>
      <c r="F158" s="38" t="s">
        <v>24</v>
      </c>
      <c r="G158" s="5">
        <v>2</v>
      </c>
      <c r="H158" s="5" t="s">
        <v>7</v>
      </c>
      <c r="I158" s="156" t="s">
        <v>13</v>
      </c>
    </row>
    <row r="159" spans="1:9" x14ac:dyDescent="0.25">
      <c r="A159" s="15">
        <v>5</v>
      </c>
      <c r="B159" s="46">
        <v>0.3354166666666667</v>
      </c>
      <c r="C159" s="38">
        <v>1752</v>
      </c>
      <c r="D159" s="38" t="s">
        <v>10</v>
      </c>
      <c r="E159" s="38" t="s">
        <v>15</v>
      </c>
      <c r="F159" s="38" t="s">
        <v>24</v>
      </c>
      <c r="G159" s="5" t="s">
        <v>169</v>
      </c>
      <c r="H159" s="5" t="s">
        <v>7</v>
      </c>
      <c r="I159" s="156" t="s">
        <v>13</v>
      </c>
    </row>
    <row r="160" spans="1:9" x14ac:dyDescent="0.25">
      <c r="A160" s="15">
        <v>6</v>
      </c>
      <c r="B160" s="46">
        <v>0.34027777777777773</v>
      </c>
      <c r="C160" s="38">
        <v>1752</v>
      </c>
      <c r="D160" s="38" t="s">
        <v>10</v>
      </c>
      <c r="E160" s="38" t="s">
        <v>15</v>
      </c>
      <c r="F160" s="38" t="s">
        <v>12</v>
      </c>
      <c r="G160" s="5" t="s">
        <v>169</v>
      </c>
      <c r="H160" s="5" t="s">
        <v>7</v>
      </c>
      <c r="I160" s="156" t="s">
        <v>13</v>
      </c>
    </row>
    <row r="161" spans="1:9" x14ac:dyDescent="0.25">
      <c r="A161" s="16">
        <v>8</v>
      </c>
      <c r="B161" s="48">
        <v>0.35416666666666669</v>
      </c>
      <c r="C161" s="39"/>
      <c r="D161" s="39" t="s">
        <v>10</v>
      </c>
      <c r="E161" s="39" t="s">
        <v>171</v>
      </c>
      <c r="F161" s="39" t="s">
        <v>90</v>
      </c>
      <c r="G161" s="4" t="s">
        <v>172</v>
      </c>
      <c r="H161" s="4" t="s">
        <v>7</v>
      </c>
      <c r="I161" s="157" t="s">
        <v>13</v>
      </c>
    </row>
    <row r="162" spans="1:9" x14ac:dyDescent="0.25">
      <c r="A162" s="15">
        <v>9</v>
      </c>
      <c r="B162" s="46">
        <v>0.39583333333333331</v>
      </c>
      <c r="C162" s="38">
        <v>1757</v>
      </c>
      <c r="D162" s="38" t="s">
        <v>10</v>
      </c>
      <c r="E162" s="38" t="s">
        <v>43</v>
      </c>
      <c r="F162" s="38" t="s">
        <v>12</v>
      </c>
      <c r="G162" s="5">
        <v>2</v>
      </c>
      <c r="H162" s="5" t="s">
        <v>7</v>
      </c>
      <c r="I162" s="156" t="s">
        <v>13</v>
      </c>
    </row>
    <row r="163" spans="1:9" x14ac:dyDescent="0.25">
      <c r="A163" s="15">
        <v>10</v>
      </c>
      <c r="B163" s="46">
        <v>0.50694444444444442</v>
      </c>
      <c r="C163" s="38">
        <v>1756</v>
      </c>
      <c r="D163" s="38" t="s">
        <v>10</v>
      </c>
      <c r="E163" s="38" t="s">
        <v>43</v>
      </c>
      <c r="F163" s="38" t="s">
        <v>12</v>
      </c>
      <c r="G163" s="5">
        <v>2</v>
      </c>
      <c r="H163" s="5" t="s">
        <v>7</v>
      </c>
      <c r="I163" s="156" t="s">
        <v>13</v>
      </c>
    </row>
    <row r="164" spans="1:9" x14ac:dyDescent="0.25">
      <c r="A164" s="15">
        <v>11</v>
      </c>
      <c r="B164" s="46">
        <v>0.51388888888888895</v>
      </c>
      <c r="C164" s="38">
        <v>1759</v>
      </c>
      <c r="D164" s="38" t="s">
        <v>10</v>
      </c>
      <c r="E164" s="38" t="s">
        <v>104</v>
      </c>
      <c r="F164" s="38" t="s">
        <v>24</v>
      </c>
      <c r="G164" s="5">
        <v>4</v>
      </c>
      <c r="H164" s="5" t="s">
        <v>7</v>
      </c>
      <c r="I164" s="156" t="s">
        <v>13</v>
      </c>
    </row>
    <row r="165" spans="1:9" x14ac:dyDescent="0.25">
      <c r="A165" s="16">
        <v>12</v>
      </c>
      <c r="B165" s="48">
        <v>0.51736111111111105</v>
      </c>
      <c r="C165" s="39">
        <v>1768</v>
      </c>
      <c r="D165" s="39" t="s">
        <v>97</v>
      </c>
      <c r="E165" s="39" t="s">
        <v>43</v>
      </c>
      <c r="F165" s="39" t="s">
        <v>170</v>
      </c>
      <c r="G165" s="4" t="s">
        <v>101</v>
      </c>
      <c r="H165" s="4" t="s">
        <v>7</v>
      </c>
      <c r="I165" s="157" t="s">
        <v>13</v>
      </c>
    </row>
    <row r="166" spans="1:9" x14ac:dyDescent="0.25">
      <c r="A166" s="22">
        <v>13</v>
      </c>
      <c r="B166" s="56">
        <v>0.56944444444444442</v>
      </c>
      <c r="C166" s="43">
        <v>3856</v>
      </c>
      <c r="D166" s="43" t="s">
        <v>97</v>
      </c>
      <c r="E166" s="43" t="s">
        <v>67</v>
      </c>
      <c r="F166" s="43" t="s">
        <v>91</v>
      </c>
      <c r="G166" s="24" t="s">
        <v>87</v>
      </c>
      <c r="H166" s="23" t="s">
        <v>8</v>
      </c>
      <c r="I166" s="157" t="s">
        <v>93</v>
      </c>
    </row>
    <row r="167" spans="1:9" ht="19.5" thickBot="1" x14ac:dyDescent="0.3">
      <c r="A167" s="173" t="s">
        <v>173</v>
      </c>
      <c r="B167" s="174"/>
      <c r="C167" s="174"/>
      <c r="D167" s="174"/>
      <c r="E167" s="174"/>
      <c r="F167" s="174"/>
      <c r="G167" s="174"/>
      <c r="H167" s="174"/>
      <c r="I167" s="175"/>
    </row>
    <row r="168" spans="1:9" ht="19.5" thickBot="1" x14ac:dyDescent="0.3"/>
    <row r="169" spans="1:9" x14ac:dyDescent="0.25">
      <c r="A169" s="14">
        <v>1</v>
      </c>
      <c r="B169" s="45">
        <v>0.67361111111111116</v>
      </c>
      <c r="C169" s="37">
        <v>2754</v>
      </c>
      <c r="D169" s="37" t="s">
        <v>10</v>
      </c>
      <c r="E169" s="37" t="s">
        <v>175</v>
      </c>
      <c r="F169" s="37" t="s">
        <v>153</v>
      </c>
      <c r="G169" s="151">
        <v>3</v>
      </c>
      <c r="H169" s="151" t="s">
        <v>7</v>
      </c>
      <c r="I169" s="155" t="s">
        <v>13</v>
      </c>
    </row>
    <row r="170" spans="1:9" x14ac:dyDescent="0.25">
      <c r="A170" s="15">
        <v>2</v>
      </c>
      <c r="B170" s="46">
        <v>0.67361111111111116</v>
      </c>
      <c r="C170" s="38">
        <v>1772</v>
      </c>
      <c r="D170" s="38" t="s">
        <v>10</v>
      </c>
      <c r="E170" s="38" t="s">
        <v>176</v>
      </c>
      <c r="F170" s="38" t="s">
        <v>170</v>
      </c>
      <c r="G170" s="5">
        <v>3</v>
      </c>
      <c r="H170" s="5" t="s">
        <v>7</v>
      </c>
      <c r="I170" s="156" t="s">
        <v>13</v>
      </c>
    </row>
    <row r="171" spans="1:9" x14ac:dyDescent="0.25">
      <c r="A171" s="15">
        <v>3</v>
      </c>
      <c r="B171" s="46">
        <v>0.67361111111111116</v>
      </c>
      <c r="C171" s="38">
        <v>3860</v>
      </c>
      <c r="D171" s="38" t="s">
        <v>10</v>
      </c>
      <c r="E171" s="38" t="s">
        <v>177</v>
      </c>
      <c r="F171" s="38" t="s">
        <v>90</v>
      </c>
      <c r="G171" s="5">
        <v>3</v>
      </c>
      <c r="H171" s="5" t="s">
        <v>7</v>
      </c>
      <c r="I171" s="156" t="s">
        <v>13</v>
      </c>
    </row>
    <row r="172" spans="1:9" x14ac:dyDescent="0.25">
      <c r="A172" s="15">
        <v>4</v>
      </c>
      <c r="B172" s="46">
        <v>0.67361111111111116</v>
      </c>
      <c r="C172" s="38">
        <v>3854</v>
      </c>
      <c r="D172" s="38" t="s">
        <v>10</v>
      </c>
      <c r="E172" s="38" t="s">
        <v>178</v>
      </c>
      <c r="F172" s="38" t="s">
        <v>103</v>
      </c>
      <c r="G172" s="5">
        <v>3</v>
      </c>
      <c r="H172" s="5" t="s">
        <v>7</v>
      </c>
      <c r="I172" s="156" t="s">
        <v>13</v>
      </c>
    </row>
    <row r="173" spans="1:9" x14ac:dyDescent="0.25">
      <c r="A173" s="15">
        <v>5</v>
      </c>
      <c r="B173" s="46">
        <v>0.6875</v>
      </c>
      <c r="C173" s="38">
        <v>2754</v>
      </c>
      <c r="D173" s="38" t="s">
        <v>10</v>
      </c>
      <c r="E173" s="38" t="s">
        <v>175</v>
      </c>
      <c r="F173" s="38" t="s">
        <v>153</v>
      </c>
      <c r="G173" s="5">
        <v>3</v>
      </c>
      <c r="H173" s="5" t="s">
        <v>7</v>
      </c>
      <c r="I173" s="156" t="s">
        <v>13</v>
      </c>
    </row>
    <row r="174" spans="1:9" x14ac:dyDescent="0.25">
      <c r="A174" s="15">
        <v>6</v>
      </c>
      <c r="B174" s="46">
        <v>0.6875</v>
      </c>
      <c r="C174" s="38">
        <v>1772</v>
      </c>
      <c r="D174" s="38" t="s">
        <v>10</v>
      </c>
      <c r="E174" s="38" t="s">
        <v>176</v>
      </c>
      <c r="F174" s="38" t="s">
        <v>170</v>
      </c>
      <c r="G174" s="5">
        <v>3</v>
      </c>
      <c r="H174" s="5" t="s">
        <v>7</v>
      </c>
      <c r="I174" s="156" t="s">
        <v>13</v>
      </c>
    </row>
    <row r="175" spans="1:9" x14ac:dyDescent="0.25">
      <c r="A175" s="15">
        <v>7</v>
      </c>
      <c r="B175" s="46">
        <v>0.6875</v>
      </c>
      <c r="C175" s="38">
        <v>3860</v>
      </c>
      <c r="D175" s="38" t="s">
        <v>10</v>
      </c>
      <c r="E175" s="38" t="s">
        <v>177</v>
      </c>
      <c r="F175" s="38" t="s">
        <v>90</v>
      </c>
      <c r="G175" s="5">
        <v>3</v>
      </c>
      <c r="H175" s="5" t="s">
        <v>7</v>
      </c>
      <c r="I175" s="156" t="s">
        <v>13</v>
      </c>
    </row>
    <row r="176" spans="1:9" x14ac:dyDescent="0.25">
      <c r="A176" s="15">
        <v>8</v>
      </c>
      <c r="B176" s="46">
        <v>0.6875</v>
      </c>
      <c r="C176" s="38">
        <v>3854</v>
      </c>
      <c r="D176" s="38" t="s">
        <v>10</v>
      </c>
      <c r="E176" s="38" t="s">
        <v>178</v>
      </c>
      <c r="F176" s="38" t="s">
        <v>103</v>
      </c>
      <c r="G176" s="5">
        <v>3</v>
      </c>
      <c r="H176" s="5" t="s">
        <v>7</v>
      </c>
      <c r="I176" s="156" t="s">
        <v>13</v>
      </c>
    </row>
    <row r="177" spans="1:9" x14ac:dyDescent="0.25">
      <c r="A177" s="182">
        <v>46084</v>
      </c>
      <c r="B177" s="183"/>
      <c r="C177" s="183"/>
      <c r="D177" s="183"/>
      <c r="E177" s="183"/>
      <c r="F177" s="183"/>
      <c r="G177" s="183"/>
      <c r="H177" s="183"/>
      <c r="I177" s="184"/>
    </row>
    <row r="178" spans="1:9" x14ac:dyDescent="0.25">
      <c r="A178" s="15">
        <v>9</v>
      </c>
      <c r="B178" s="46">
        <v>2.1527777777777781E-2</v>
      </c>
      <c r="C178" s="38">
        <v>1767</v>
      </c>
      <c r="D178" s="38" t="s">
        <v>10</v>
      </c>
      <c r="E178" s="38" t="s">
        <v>104</v>
      </c>
      <c r="F178" s="38" t="s">
        <v>166</v>
      </c>
      <c r="G178" s="5">
        <v>1</v>
      </c>
      <c r="H178" s="5" t="s">
        <v>7</v>
      </c>
      <c r="I178" s="156" t="s">
        <v>13</v>
      </c>
    </row>
    <row r="179" spans="1:9" x14ac:dyDescent="0.25">
      <c r="A179" s="15">
        <v>10</v>
      </c>
      <c r="B179" s="46">
        <v>3.2638888888888891E-2</v>
      </c>
      <c r="C179" s="38">
        <v>1759</v>
      </c>
      <c r="D179" s="38" t="s">
        <v>10</v>
      </c>
      <c r="E179" s="38" t="s">
        <v>104</v>
      </c>
      <c r="F179" s="38" t="s">
        <v>24</v>
      </c>
      <c r="G179" s="5">
        <v>1</v>
      </c>
      <c r="H179" s="5" t="s">
        <v>7</v>
      </c>
      <c r="I179" s="156" t="s">
        <v>13</v>
      </c>
    </row>
    <row r="180" spans="1:9" x14ac:dyDescent="0.25">
      <c r="A180" s="15">
        <v>11</v>
      </c>
      <c r="B180" s="46">
        <v>9.9999999999999992E-2</v>
      </c>
      <c r="C180" s="38">
        <v>1743</v>
      </c>
      <c r="D180" s="38" t="s">
        <v>10</v>
      </c>
      <c r="E180" s="38" t="s">
        <v>167</v>
      </c>
      <c r="F180" s="38" t="s">
        <v>24</v>
      </c>
      <c r="G180" s="5">
        <v>2</v>
      </c>
      <c r="H180" s="5" t="s">
        <v>7</v>
      </c>
      <c r="I180" s="156" t="s">
        <v>13</v>
      </c>
    </row>
    <row r="181" spans="1:9" x14ac:dyDescent="0.25">
      <c r="A181" s="15">
        <v>12</v>
      </c>
      <c r="B181" s="46">
        <v>0.22777777777777777</v>
      </c>
      <c r="C181" s="38">
        <v>1759</v>
      </c>
      <c r="D181" s="38" t="s">
        <v>10</v>
      </c>
      <c r="E181" s="38" t="s">
        <v>104</v>
      </c>
      <c r="F181" s="38" t="s">
        <v>24</v>
      </c>
      <c r="G181" s="5">
        <v>1</v>
      </c>
      <c r="H181" s="5" t="s">
        <v>7</v>
      </c>
      <c r="I181" s="156" t="s">
        <v>13</v>
      </c>
    </row>
    <row r="182" spans="1:9" x14ac:dyDescent="0.25">
      <c r="A182" s="15">
        <v>13</v>
      </c>
      <c r="B182" s="46">
        <v>0.2298611111111111</v>
      </c>
      <c r="C182" s="38">
        <v>1757</v>
      </c>
      <c r="D182" s="38" t="s">
        <v>10</v>
      </c>
      <c r="E182" s="38" t="s">
        <v>43</v>
      </c>
      <c r="F182" s="38" t="s">
        <v>166</v>
      </c>
      <c r="G182" s="5">
        <v>1</v>
      </c>
      <c r="H182" s="5" t="s">
        <v>7</v>
      </c>
      <c r="I182" s="156" t="s">
        <v>13</v>
      </c>
    </row>
    <row r="183" spans="1:9" x14ac:dyDescent="0.25">
      <c r="A183" s="15">
        <v>14</v>
      </c>
      <c r="B183" s="46">
        <v>0.36805555555555558</v>
      </c>
      <c r="C183" s="38">
        <v>1751</v>
      </c>
      <c r="D183" s="38" t="s">
        <v>10</v>
      </c>
      <c r="E183" s="38" t="s">
        <v>11</v>
      </c>
      <c r="F183" s="38" t="s">
        <v>24</v>
      </c>
      <c r="G183" s="5" t="s">
        <v>179</v>
      </c>
      <c r="H183" s="5" t="s">
        <v>7</v>
      </c>
      <c r="I183" s="156" t="s">
        <v>13</v>
      </c>
    </row>
    <row r="184" spans="1:9" x14ac:dyDescent="0.25">
      <c r="A184" s="22">
        <v>15</v>
      </c>
      <c r="B184" s="56">
        <v>0.39583333333333331</v>
      </c>
      <c r="C184" s="43">
        <v>3856</v>
      </c>
      <c r="D184" s="43" t="s">
        <v>97</v>
      </c>
      <c r="E184" s="43" t="s">
        <v>67</v>
      </c>
      <c r="F184" s="43" t="s">
        <v>91</v>
      </c>
      <c r="G184" s="23" t="s">
        <v>101</v>
      </c>
      <c r="H184" s="23" t="s">
        <v>8</v>
      </c>
      <c r="I184" s="161" t="s">
        <v>13</v>
      </c>
    </row>
    <row r="185" spans="1:9" x14ac:dyDescent="0.25">
      <c r="A185" s="15">
        <v>16</v>
      </c>
      <c r="B185" s="46">
        <v>0.47916666666666669</v>
      </c>
      <c r="C185" s="38">
        <v>1756</v>
      </c>
      <c r="D185" s="38" t="s">
        <v>10</v>
      </c>
      <c r="E185" s="38" t="s">
        <v>43</v>
      </c>
      <c r="F185" s="38" t="s">
        <v>12</v>
      </c>
      <c r="G185" s="5">
        <v>3</v>
      </c>
      <c r="H185" s="5" t="s">
        <v>7</v>
      </c>
      <c r="I185" s="156" t="s">
        <v>13</v>
      </c>
    </row>
    <row r="186" spans="1:9" x14ac:dyDescent="0.25">
      <c r="A186" s="15">
        <v>17</v>
      </c>
      <c r="B186" s="46">
        <v>0.55208333333333337</v>
      </c>
      <c r="C186" s="38"/>
      <c r="D186" s="38" t="s">
        <v>10</v>
      </c>
      <c r="E186" s="66" t="s">
        <v>180</v>
      </c>
      <c r="F186" s="38" t="s">
        <v>91</v>
      </c>
      <c r="G186" s="5" t="s">
        <v>172</v>
      </c>
      <c r="H186" s="5" t="s">
        <v>181</v>
      </c>
      <c r="I186" s="156" t="s">
        <v>13</v>
      </c>
    </row>
    <row r="187" spans="1:9" x14ac:dyDescent="0.25">
      <c r="A187" s="15">
        <v>18</v>
      </c>
      <c r="B187" s="46">
        <v>0.58680555555555558</v>
      </c>
      <c r="C187" s="38">
        <v>1756</v>
      </c>
      <c r="D187" s="38" t="s">
        <v>10</v>
      </c>
      <c r="E187" s="38" t="s">
        <v>43</v>
      </c>
      <c r="F187" s="38" t="s">
        <v>126</v>
      </c>
      <c r="G187" s="5" t="s">
        <v>101</v>
      </c>
      <c r="H187" s="5" t="s">
        <v>7</v>
      </c>
      <c r="I187" s="156" t="s">
        <v>13</v>
      </c>
    </row>
    <row r="188" spans="1:9" x14ac:dyDescent="0.25">
      <c r="A188" s="15">
        <v>19</v>
      </c>
      <c r="B188" s="46">
        <v>0.61805555555555558</v>
      </c>
      <c r="C188" s="38">
        <v>1747</v>
      </c>
      <c r="D188" s="38" t="s">
        <v>10</v>
      </c>
      <c r="E188" s="38" t="s">
        <v>11</v>
      </c>
      <c r="F188" s="38" t="s">
        <v>24</v>
      </c>
      <c r="G188" s="5" t="s">
        <v>163</v>
      </c>
      <c r="H188" s="5" t="s">
        <v>7</v>
      </c>
      <c r="I188" s="156" t="s">
        <v>13</v>
      </c>
    </row>
    <row r="189" spans="1:9" x14ac:dyDescent="0.25">
      <c r="A189" s="15">
        <v>20</v>
      </c>
      <c r="B189" s="46">
        <v>0.62152777777777779</v>
      </c>
      <c r="C189" s="38">
        <v>1752</v>
      </c>
      <c r="D189" s="38" t="s">
        <v>10</v>
      </c>
      <c r="E189" s="38" t="s">
        <v>11</v>
      </c>
      <c r="F189" s="38" t="s">
        <v>24</v>
      </c>
      <c r="G189" s="5">
        <v>5</v>
      </c>
      <c r="H189" s="5" t="s">
        <v>7</v>
      </c>
      <c r="I189" s="156" t="s">
        <v>13</v>
      </c>
    </row>
    <row r="190" spans="1:9" ht="19.5" thickBot="1" x14ac:dyDescent="0.3">
      <c r="A190" s="173" t="s">
        <v>182</v>
      </c>
      <c r="B190" s="174"/>
      <c r="C190" s="174"/>
      <c r="D190" s="174"/>
      <c r="E190" s="174"/>
      <c r="F190" s="174"/>
      <c r="G190" s="174"/>
      <c r="H190" s="174"/>
      <c r="I190" s="175"/>
    </row>
    <row r="191" spans="1:9" ht="19.5" thickBot="1" x14ac:dyDescent="0.3"/>
    <row r="192" spans="1:9" x14ac:dyDescent="0.25">
      <c r="A192" s="14">
        <v>1</v>
      </c>
      <c r="B192" s="45">
        <v>0.98402777777777783</v>
      </c>
      <c r="C192" s="37">
        <v>1785</v>
      </c>
      <c r="D192" s="37" t="s">
        <v>10</v>
      </c>
      <c r="E192" s="37" t="s">
        <v>25</v>
      </c>
      <c r="F192" s="37" t="s">
        <v>166</v>
      </c>
      <c r="G192" s="151">
        <v>2</v>
      </c>
      <c r="H192" s="151" t="s">
        <v>7</v>
      </c>
      <c r="I192" s="155" t="s">
        <v>13</v>
      </c>
    </row>
    <row r="193" spans="1:9" x14ac:dyDescent="0.25">
      <c r="A193" s="182">
        <v>46085</v>
      </c>
      <c r="B193" s="183"/>
      <c r="C193" s="183"/>
      <c r="D193" s="183"/>
      <c r="E193" s="183"/>
      <c r="F193" s="183"/>
      <c r="G193" s="183"/>
      <c r="H193" s="183"/>
      <c r="I193" s="184"/>
    </row>
    <row r="194" spans="1:9" x14ac:dyDescent="0.25">
      <c r="A194" s="15">
        <v>2</v>
      </c>
      <c r="B194" s="46">
        <v>1.8055555555555557E-2</v>
      </c>
      <c r="C194" s="38" t="s">
        <v>185</v>
      </c>
      <c r="D194" s="38" t="s">
        <v>183</v>
      </c>
      <c r="E194" s="38" t="s">
        <v>67</v>
      </c>
      <c r="F194" s="38" t="s">
        <v>90</v>
      </c>
      <c r="G194" s="3" t="s">
        <v>184</v>
      </c>
      <c r="H194" s="5" t="s">
        <v>7</v>
      </c>
      <c r="I194" s="156" t="s">
        <v>13</v>
      </c>
    </row>
    <row r="195" spans="1:9" x14ac:dyDescent="0.25">
      <c r="A195" s="15">
        <v>3</v>
      </c>
      <c r="B195" s="46">
        <v>3.0555555555555555E-2</v>
      </c>
      <c r="C195" s="38">
        <v>1739</v>
      </c>
      <c r="D195" s="38" t="s">
        <v>10</v>
      </c>
      <c r="E195" s="38" t="s">
        <v>117</v>
      </c>
      <c r="F195" s="38" t="s">
        <v>24</v>
      </c>
      <c r="G195" s="5">
        <v>2</v>
      </c>
      <c r="H195" s="5" t="s">
        <v>7</v>
      </c>
      <c r="I195" s="156" t="s">
        <v>13</v>
      </c>
    </row>
    <row r="196" spans="1:9" x14ac:dyDescent="0.25">
      <c r="A196" s="15">
        <v>4</v>
      </c>
      <c r="B196" s="46">
        <v>0.12222222222222223</v>
      </c>
      <c r="C196" s="38">
        <v>1752</v>
      </c>
      <c r="D196" s="38" t="s">
        <v>10</v>
      </c>
      <c r="E196" s="38" t="s">
        <v>11</v>
      </c>
      <c r="F196" s="38" t="s">
        <v>24</v>
      </c>
      <c r="G196" s="5">
        <v>3</v>
      </c>
      <c r="H196" s="5" t="s">
        <v>7</v>
      </c>
      <c r="I196" s="156" t="s">
        <v>13</v>
      </c>
    </row>
    <row r="197" spans="1:9" x14ac:dyDescent="0.25">
      <c r="A197" s="15">
        <v>5</v>
      </c>
      <c r="B197" s="38" t="s">
        <v>186</v>
      </c>
      <c r="C197" s="38">
        <v>1771</v>
      </c>
      <c r="D197" s="38" t="s">
        <v>10</v>
      </c>
      <c r="E197" s="38" t="s">
        <v>187</v>
      </c>
      <c r="F197" s="38" t="s">
        <v>166</v>
      </c>
      <c r="G197" s="5">
        <v>1</v>
      </c>
      <c r="H197" s="5" t="s">
        <v>7</v>
      </c>
      <c r="I197" s="156" t="s">
        <v>13</v>
      </c>
    </row>
    <row r="198" spans="1:9" x14ac:dyDescent="0.25">
      <c r="A198" s="15">
        <v>6</v>
      </c>
      <c r="B198" s="46">
        <v>0.2388888888888889</v>
      </c>
      <c r="C198" s="38">
        <v>1781</v>
      </c>
      <c r="D198" s="38" t="s">
        <v>10</v>
      </c>
      <c r="E198" s="38" t="s">
        <v>187</v>
      </c>
      <c r="F198" s="38" t="s">
        <v>166</v>
      </c>
      <c r="G198" s="5">
        <v>1</v>
      </c>
      <c r="H198" s="5" t="s">
        <v>7</v>
      </c>
      <c r="I198" s="156" t="s">
        <v>13</v>
      </c>
    </row>
    <row r="199" spans="1:9" x14ac:dyDescent="0.25">
      <c r="A199" s="15">
        <v>7</v>
      </c>
      <c r="B199" s="46">
        <v>0.25</v>
      </c>
      <c r="C199" s="38">
        <v>1739</v>
      </c>
      <c r="D199" s="38" t="s">
        <v>10</v>
      </c>
      <c r="E199" s="38" t="s">
        <v>188</v>
      </c>
      <c r="F199" s="38" t="s">
        <v>24</v>
      </c>
      <c r="G199" s="5">
        <v>2</v>
      </c>
      <c r="H199" s="5" t="s">
        <v>7</v>
      </c>
      <c r="I199" s="156" t="s">
        <v>13</v>
      </c>
    </row>
    <row r="200" spans="1:9" x14ac:dyDescent="0.25">
      <c r="A200" s="15">
        <v>8</v>
      </c>
      <c r="B200" s="46">
        <v>0.40972222222222227</v>
      </c>
      <c r="C200" s="38">
        <v>1756</v>
      </c>
      <c r="D200" s="38" t="s">
        <v>10</v>
      </c>
      <c r="E200" s="38" t="s">
        <v>43</v>
      </c>
      <c r="F200" s="38" t="s">
        <v>12</v>
      </c>
      <c r="G200" s="5">
        <v>3</v>
      </c>
      <c r="H200" s="5" t="s">
        <v>7</v>
      </c>
      <c r="I200" s="156" t="s">
        <v>13</v>
      </c>
    </row>
    <row r="201" spans="1:9" x14ac:dyDescent="0.25">
      <c r="A201" s="22">
        <v>9</v>
      </c>
      <c r="B201" s="56">
        <v>0.54861111111111105</v>
      </c>
      <c r="C201" s="43">
        <v>1803</v>
      </c>
      <c r="D201" s="43" t="s">
        <v>97</v>
      </c>
      <c r="E201" s="57" t="s">
        <v>189</v>
      </c>
      <c r="F201" s="43" t="s">
        <v>91</v>
      </c>
      <c r="G201" s="23" t="s">
        <v>41</v>
      </c>
      <c r="H201" s="23" t="s">
        <v>8</v>
      </c>
      <c r="I201" s="157" t="s">
        <v>93</v>
      </c>
    </row>
    <row r="202" spans="1:9" x14ac:dyDescent="0.25">
      <c r="A202" s="15">
        <v>10</v>
      </c>
      <c r="B202" s="46">
        <v>0.55069444444444449</v>
      </c>
      <c r="C202" s="38">
        <v>1746</v>
      </c>
      <c r="D202" s="38" t="s">
        <v>10</v>
      </c>
      <c r="E202" s="38" t="s">
        <v>11</v>
      </c>
      <c r="F202" s="38" t="s">
        <v>12</v>
      </c>
      <c r="G202" s="5" t="s">
        <v>169</v>
      </c>
      <c r="H202" s="5" t="s">
        <v>7</v>
      </c>
      <c r="I202" s="156" t="s">
        <v>13</v>
      </c>
    </row>
    <row r="203" spans="1:9" x14ac:dyDescent="0.25">
      <c r="A203" s="15">
        <v>11</v>
      </c>
      <c r="B203" s="46">
        <v>0.59722222222222221</v>
      </c>
      <c r="C203" s="38"/>
      <c r="D203" s="38" t="s">
        <v>10</v>
      </c>
      <c r="E203" s="38" t="s">
        <v>190</v>
      </c>
      <c r="F203" s="38" t="s">
        <v>191</v>
      </c>
      <c r="G203" s="5" t="s">
        <v>193</v>
      </c>
      <c r="H203" s="5" t="s">
        <v>181</v>
      </c>
      <c r="I203" s="156" t="s">
        <v>13</v>
      </c>
    </row>
    <row r="204" spans="1:9" ht="19.5" thickBot="1" x14ac:dyDescent="0.3">
      <c r="A204" s="173" t="s">
        <v>192</v>
      </c>
      <c r="B204" s="174"/>
      <c r="C204" s="174"/>
      <c r="D204" s="174"/>
      <c r="E204" s="174"/>
      <c r="F204" s="174"/>
      <c r="G204" s="174"/>
      <c r="H204" s="174"/>
      <c r="I204" s="175"/>
    </row>
    <row r="205" spans="1:9" ht="19.5" thickBot="1" x14ac:dyDescent="0.3"/>
    <row r="206" spans="1:9" x14ac:dyDescent="0.25">
      <c r="A206" s="87">
        <v>1</v>
      </c>
      <c r="B206" s="88">
        <v>0.6875</v>
      </c>
      <c r="C206" s="89">
        <v>1789</v>
      </c>
      <c r="D206" s="89" t="s">
        <v>97</v>
      </c>
      <c r="E206" s="89" t="s">
        <v>194</v>
      </c>
      <c r="F206" s="89" t="s">
        <v>90</v>
      </c>
      <c r="G206" s="90" t="s">
        <v>201</v>
      </c>
      <c r="H206" s="90" t="s">
        <v>195</v>
      </c>
      <c r="I206" s="167" t="s">
        <v>93</v>
      </c>
    </row>
    <row r="207" spans="1:9" x14ac:dyDescent="0.25">
      <c r="A207" s="15">
        <v>2</v>
      </c>
      <c r="B207" s="46">
        <v>0.80208333333333337</v>
      </c>
      <c r="C207" s="38">
        <v>2298</v>
      </c>
      <c r="D207" s="38" t="s">
        <v>10</v>
      </c>
      <c r="E207" s="38" t="s">
        <v>196</v>
      </c>
      <c r="F207" s="38" t="s">
        <v>24</v>
      </c>
      <c r="G207" s="5">
        <v>7</v>
      </c>
      <c r="H207" s="5" t="s">
        <v>7</v>
      </c>
      <c r="I207" s="156" t="s">
        <v>13</v>
      </c>
    </row>
    <row r="208" spans="1:9" x14ac:dyDescent="0.25">
      <c r="A208" s="182">
        <v>46086</v>
      </c>
      <c r="B208" s="183"/>
      <c r="C208" s="183"/>
      <c r="D208" s="183"/>
      <c r="E208" s="183"/>
      <c r="F208" s="183"/>
      <c r="G208" s="183"/>
      <c r="H208" s="183"/>
      <c r="I208" s="184"/>
    </row>
    <row r="209" spans="1:9" x14ac:dyDescent="0.25">
      <c r="A209" s="15">
        <v>3</v>
      </c>
      <c r="B209" s="46">
        <v>9.7222222222222224E-3</v>
      </c>
      <c r="C209" s="38">
        <v>1769</v>
      </c>
      <c r="D209" s="38" t="s">
        <v>10</v>
      </c>
      <c r="E209" s="38" t="s">
        <v>38</v>
      </c>
      <c r="F209" s="38" t="s">
        <v>166</v>
      </c>
      <c r="G209" s="5">
        <v>1</v>
      </c>
      <c r="H209" s="5" t="s">
        <v>7</v>
      </c>
      <c r="I209" s="156" t="s">
        <v>13</v>
      </c>
    </row>
    <row r="210" spans="1:9" x14ac:dyDescent="0.25">
      <c r="A210" s="15">
        <v>4</v>
      </c>
      <c r="B210" s="46">
        <v>8.6111111111111124E-2</v>
      </c>
      <c r="C210" s="38">
        <v>1752</v>
      </c>
      <c r="D210" s="38" t="s">
        <v>10</v>
      </c>
      <c r="E210" s="38" t="s">
        <v>11</v>
      </c>
      <c r="F210" s="38" t="s">
        <v>24</v>
      </c>
      <c r="G210" s="5">
        <v>2</v>
      </c>
      <c r="H210" s="5" t="s">
        <v>7</v>
      </c>
      <c r="I210" s="156" t="s">
        <v>13</v>
      </c>
    </row>
    <row r="211" spans="1:9" x14ac:dyDescent="0.25">
      <c r="A211" s="15">
        <v>5</v>
      </c>
      <c r="B211" s="46">
        <v>0.18680555555555556</v>
      </c>
      <c r="C211" s="38">
        <v>1752</v>
      </c>
      <c r="D211" s="38" t="s">
        <v>10</v>
      </c>
      <c r="E211" s="38" t="s">
        <v>11</v>
      </c>
      <c r="F211" s="38" t="s">
        <v>24</v>
      </c>
      <c r="G211" s="5">
        <v>3</v>
      </c>
      <c r="H211" s="5" t="s">
        <v>7</v>
      </c>
      <c r="I211" s="156" t="s">
        <v>13</v>
      </c>
    </row>
    <row r="212" spans="1:9" x14ac:dyDescent="0.25">
      <c r="A212" s="15">
        <v>6</v>
      </c>
      <c r="B212" s="46">
        <v>0.1875</v>
      </c>
      <c r="C212" s="38">
        <v>1780</v>
      </c>
      <c r="D212" s="38" t="s">
        <v>10</v>
      </c>
      <c r="E212" s="38" t="s">
        <v>38</v>
      </c>
      <c r="F212" s="38" t="s">
        <v>166</v>
      </c>
      <c r="G212" s="5">
        <v>1</v>
      </c>
      <c r="H212" s="5" t="s">
        <v>7</v>
      </c>
      <c r="I212" s="156" t="s">
        <v>13</v>
      </c>
    </row>
    <row r="213" spans="1:9" x14ac:dyDescent="0.25">
      <c r="A213" s="15">
        <v>7</v>
      </c>
      <c r="B213" s="46">
        <v>0.24791666666666667</v>
      </c>
      <c r="C213" s="38">
        <v>1789</v>
      </c>
      <c r="D213" s="38" t="s">
        <v>10</v>
      </c>
      <c r="E213" s="38" t="s">
        <v>67</v>
      </c>
      <c r="F213" s="38" t="s">
        <v>166</v>
      </c>
      <c r="G213" s="5">
        <v>1</v>
      </c>
      <c r="H213" s="5" t="s">
        <v>7</v>
      </c>
      <c r="I213" s="156" t="s">
        <v>13</v>
      </c>
    </row>
    <row r="214" spans="1:9" x14ac:dyDescent="0.25">
      <c r="A214" s="15">
        <v>8</v>
      </c>
      <c r="B214" s="46">
        <v>0.29791666666666666</v>
      </c>
      <c r="C214" s="38">
        <v>1751</v>
      </c>
      <c r="D214" s="38" t="s">
        <v>10</v>
      </c>
      <c r="E214" s="38" t="s">
        <v>11</v>
      </c>
      <c r="F214" s="38" t="s">
        <v>24</v>
      </c>
      <c r="G214" s="5" t="s">
        <v>197</v>
      </c>
      <c r="H214" s="5" t="s">
        <v>7</v>
      </c>
      <c r="I214" s="156" t="s">
        <v>13</v>
      </c>
    </row>
    <row r="215" spans="1:9" x14ac:dyDescent="0.25">
      <c r="A215" s="22">
        <v>9</v>
      </c>
      <c r="B215" s="56">
        <v>0.34375</v>
      </c>
      <c r="C215" s="43"/>
      <c r="D215" s="43" t="s">
        <v>97</v>
      </c>
      <c r="E215" s="57" t="s">
        <v>198</v>
      </c>
      <c r="F215" s="43" t="s">
        <v>91</v>
      </c>
      <c r="G215" s="23" t="s">
        <v>113</v>
      </c>
      <c r="H215" s="23" t="s">
        <v>8</v>
      </c>
      <c r="I215" s="161" t="s">
        <v>13</v>
      </c>
    </row>
    <row r="216" spans="1:9" x14ac:dyDescent="0.25">
      <c r="A216" s="22">
        <v>10</v>
      </c>
      <c r="B216" s="56">
        <v>0.3659722222222222</v>
      </c>
      <c r="C216" s="43"/>
      <c r="D216" s="43" t="s">
        <v>97</v>
      </c>
      <c r="E216" s="43" t="s">
        <v>199</v>
      </c>
      <c r="F216" s="43" t="s">
        <v>90</v>
      </c>
      <c r="G216" s="23" t="s">
        <v>113</v>
      </c>
      <c r="H216" s="23" t="s">
        <v>8</v>
      </c>
      <c r="I216" s="161" t="s">
        <v>13</v>
      </c>
    </row>
    <row r="217" spans="1:9" x14ac:dyDescent="0.25">
      <c r="A217" s="15">
        <v>11</v>
      </c>
      <c r="B217" s="46">
        <v>0.375</v>
      </c>
      <c r="C217" s="38">
        <v>1752</v>
      </c>
      <c r="D217" s="38" t="s">
        <v>10</v>
      </c>
      <c r="E217" s="66" t="s">
        <v>200</v>
      </c>
      <c r="F217" s="38" t="s">
        <v>12</v>
      </c>
      <c r="G217" s="5">
        <v>3</v>
      </c>
      <c r="H217" s="5" t="s">
        <v>7</v>
      </c>
      <c r="I217" s="156" t="s">
        <v>13</v>
      </c>
    </row>
    <row r="218" spans="1:9" x14ac:dyDescent="0.25">
      <c r="A218" s="22">
        <v>12</v>
      </c>
      <c r="B218" s="56">
        <v>0.41180555555555554</v>
      </c>
      <c r="C218" s="43">
        <v>2100</v>
      </c>
      <c r="D218" s="43" t="s">
        <v>97</v>
      </c>
      <c r="E218" s="43" t="s">
        <v>203</v>
      </c>
      <c r="F218" s="43" t="s">
        <v>103</v>
      </c>
      <c r="G218" s="23" t="s">
        <v>204</v>
      </c>
      <c r="H218" s="23" t="s">
        <v>8</v>
      </c>
      <c r="I218" s="161" t="s">
        <v>13</v>
      </c>
    </row>
    <row r="219" spans="1:9" x14ac:dyDescent="0.25">
      <c r="A219" s="15">
        <v>13</v>
      </c>
      <c r="B219" s="46">
        <v>0.4513888888888889</v>
      </c>
      <c r="C219" s="38"/>
      <c r="D219" s="38" t="s">
        <v>10</v>
      </c>
      <c r="E219" s="38" t="s">
        <v>190</v>
      </c>
      <c r="F219" s="38" t="s">
        <v>139</v>
      </c>
      <c r="G219" s="5" t="s">
        <v>172</v>
      </c>
      <c r="H219" s="5" t="s">
        <v>181</v>
      </c>
      <c r="I219" s="156" t="s">
        <v>13</v>
      </c>
    </row>
    <row r="220" spans="1:9" x14ac:dyDescent="0.25">
      <c r="A220" s="15">
        <v>14</v>
      </c>
      <c r="B220" s="46">
        <v>0.5</v>
      </c>
      <c r="C220" s="38">
        <v>2298</v>
      </c>
      <c r="D220" s="38" t="s">
        <v>97</v>
      </c>
      <c r="E220" s="38" t="s">
        <v>202</v>
      </c>
      <c r="F220" s="38" t="s">
        <v>24</v>
      </c>
      <c r="G220" s="5">
        <v>8</v>
      </c>
      <c r="H220" s="5" t="s">
        <v>7</v>
      </c>
      <c r="I220" s="156" t="s">
        <v>13</v>
      </c>
    </row>
    <row r="221" spans="1:9" ht="19.5" thickBot="1" x14ac:dyDescent="0.3">
      <c r="A221" s="173" t="s">
        <v>205</v>
      </c>
      <c r="B221" s="174"/>
      <c r="C221" s="174"/>
      <c r="D221" s="174"/>
      <c r="E221" s="174"/>
      <c r="F221" s="174"/>
      <c r="G221" s="174"/>
      <c r="H221" s="174"/>
      <c r="I221" s="175"/>
    </row>
    <row r="222" spans="1:9" ht="19.5" thickBot="1" x14ac:dyDescent="0.3"/>
    <row r="223" spans="1:9" x14ac:dyDescent="0.25">
      <c r="A223" s="14">
        <v>1</v>
      </c>
      <c r="B223" s="45">
        <v>0.94027777777777777</v>
      </c>
      <c r="C223" s="37">
        <v>1791</v>
      </c>
      <c r="D223" s="37" t="s">
        <v>97</v>
      </c>
      <c r="E223" s="37" t="s">
        <v>206</v>
      </c>
      <c r="F223" s="37" t="s">
        <v>90</v>
      </c>
      <c r="G223" s="91" t="s">
        <v>209</v>
      </c>
      <c r="H223" s="151" t="s">
        <v>207</v>
      </c>
      <c r="I223" s="155" t="s">
        <v>208</v>
      </c>
    </row>
    <row r="224" spans="1:9" x14ac:dyDescent="0.25">
      <c r="A224" s="15">
        <v>2</v>
      </c>
      <c r="B224" s="46">
        <v>0.97569444444444453</v>
      </c>
      <c r="C224" s="38">
        <v>1747</v>
      </c>
      <c r="D224" s="38" t="s">
        <v>10</v>
      </c>
      <c r="E224" s="38" t="s">
        <v>210</v>
      </c>
      <c r="F224" s="38" t="s">
        <v>24</v>
      </c>
      <c r="G224" s="5">
        <v>1</v>
      </c>
      <c r="H224" s="5" t="s">
        <v>7</v>
      </c>
      <c r="I224" s="156" t="s">
        <v>13</v>
      </c>
    </row>
    <row r="225" spans="1:9" x14ac:dyDescent="0.25">
      <c r="A225" s="182">
        <v>46087</v>
      </c>
      <c r="B225" s="183"/>
      <c r="C225" s="183"/>
      <c r="D225" s="183"/>
      <c r="E225" s="183"/>
      <c r="F225" s="183"/>
      <c r="G225" s="183"/>
      <c r="H225" s="183"/>
      <c r="I225" s="184"/>
    </row>
    <row r="226" spans="1:9" x14ac:dyDescent="0.25">
      <c r="A226" s="15">
        <v>3</v>
      </c>
      <c r="B226" s="46">
        <v>2.9166666666666664E-2</v>
      </c>
      <c r="C226" s="38">
        <v>1794</v>
      </c>
      <c r="D226" s="38" t="s">
        <v>10</v>
      </c>
      <c r="E226" s="38" t="s">
        <v>206</v>
      </c>
      <c r="F226" s="38" t="s">
        <v>166</v>
      </c>
      <c r="G226" s="5">
        <v>1</v>
      </c>
      <c r="H226" s="5" t="s">
        <v>7</v>
      </c>
      <c r="I226" s="156" t="s">
        <v>13</v>
      </c>
    </row>
    <row r="227" spans="1:9" x14ac:dyDescent="0.25">
      <c r="A227" s="15">
        <v>4</v>
      </c>
      <c r="B227" s="46">
        <v>3.3333333333333333E-2</v>
      </c>
      <c r="C227" s="38">
        <v>1752</v>
      </c>
      <c r="D227" s="38" t="s">
        <v>10</v>
      </c>
      <c r="E227" s="38" t="s">
        <v>11</v>
      </c>
      <c r="F227" s="38" t="s">
        <v>24</v>
      </c>
      <c r="G227" s="5">
        <v>1</v>
      </c>
      <c r="H227" s="5" t="s">
        <v>7</v>
      </c>
      <c r="I227" s="156" t="s">
        <v>13</v>
      </c>
    </row>
    <row r="228" spans="1:9" x14ac:dyDescent="0.25">
      <c r="A228" s="15">
        <v>5</v>
      </c>
      <c r="B228" s="46">
        <v>8.4722222222222213E-2</v>
      </c>
      <c r="C228" s="38">
        <v>1504</v>
      </c>
      <c r="D228" s="38" t="s">
        <v>10</v>
      </c>
      <c r="E228" s="38" t="s">
        <v>211</v>
      </c>
      <c r="F228" s="38" t="s">
        <v>146</v>
      </c>
      <c r="G228" s="5">
        <v>1</v>
      </c>
      <c r="H228" s="5" t="s">
        <v>7</v>
      </c>
      <c r="I228" s="156" t="s">
        <v>13</v>
      </c>
    </row>
    <row r="229" spans="1:9" x14ac:dyDescent="0.25">
      <c r="A229" s="15">
        <v>6</v>
      </c>
      <c r="B229" s="46">
        <v>8.5416666666666655E-2</v>
      </c>
      <c r="C229" s="38">
        <v>1790</v>
      </c>
      <c r="D229" s="38" t="s">
        <v>10</v>
      </c>
      <c r="E229" s="38" t="s">
        <v>206</v>
      </c>
      <c r="F229" s="38" t="s">
        <v>166</v>
      </c>
      <c r="G229" s="5">
        <v>1</v>
      </c>
      <c r="H229" s="5" t="s">
        <v>7</v>
      </c>
      <c r="I229" s="156" t="s">
        <v>13</v>
      </c>
    </row>
    <row r="230" spans="1:9" x14ac:dyDescent="0.25">
      <c r="A230" s="15">
        <v>7</v>
      </c>
      <c r="B230" s="46">
        <v>0.11666666666666665</v>
      </c>
      <c r="C230" s="38">
        <v>1747</v>
      </c>
      <c r="D230" s="38" t="s">
        <v>10</v>
      </c>
      <c r="E230" s="38" t="s">
        <v>11</v>
      </c>
      <c r="F230" s="38" t="s">
        <v>24</v>
      </c>
      <c r="G230" s="5">
        <v>2</v>
      </c>
      <c r="H230" s="5" t="s">
        <v>7</v>
      </c>
      <c r="I230" s="156" t="s">
        <v>13</v>
      </c>
    </row>
    <row r="231" spans="1:9" x14ac:dyDescent="0.25">
      <c r="A231" s="15">
        <v>8</v>
      </c>
      <c r="B231" s="46">
        <v>0.13958333333333334</v>
      </c>
      <c r="C231" s="38">
        <v>1791</v>
      </c>
      <c r="D231" s="38" t="s">
        <v>10</v>
      </c>
      <c r="E231" s="38" t="s">
        <v>206</v>
      </c>
      <c r="F231" s="38" t="s">
        <v>166</v>
      </c>
      <c r="G231" s="5">
        <v>1</v>
      </c>
      <c r="H231" s="5" t="s">
        <v>7</v>
      </c>
      <c r="I231" s="156" t="s">
        <v>13</v>
      </c>
    </row>
    <row r="232" spans="1:9" x14ac:dyDescent="0.25">
      <c r="A232" s="15">
        <v>9</v>
      </c>
      <c r="B232" s="46">
        <v>0.15347222222222223</v>
      </c>
      <c r="C232" s="38">
        <v>1751</v>
      </c>
      <c r="D232" s="38" t="s">
        <v>10</v>
      </c>
      <c r="E232" s="38" t="s">
        <v>11</v>
      </c>
      <c r="F232" s="38" t="s">
        <v>24</v>
      </c>
      <c r="G232" s="5">
        <v>1</v>
      </c>
      <c r="H232" s="5" t="s">
        <v>7</v>
      </c>
      <c r="I232" s="156" t="s">
        <v>13</v>
      </c>
    </row>
    <row r="233" spans="1:9" x14ac:dyDescent="0.25">
      <c r="A233" s="15">
        <v>10</v>
      </c>
      <c r="B233" s="46">
        <v>0.1673611111111111</v>
      </c>
      <c r="C233" s="38">
        <v>1795</v>
      </c>
      <c r="D233" s="38" t="s">
        <v>10</v>
      </c>
      <c r="E233" s="38" t="s">
        <v>212</v>
      </c>
      <c r="F233" s="38" t="s">
        <v>166</v>
      </c>
      <c r="G233" s="5">
        <v>1</v>
      </c>
      <c r="H233" s="5" t="s">
        <v>7</v>
      </c>
      <c r="I233" s="156" t="s">
        <v>13</v>
      </c>
    </row>
    <row r="234" spans="1:9" x14ac:dyDescent="0.25">
      <c r="A234" s="15">
        <v>11</v>
      </c>
      <c r="B234" s="46">
        <v>0.18263888888888891</v>
      </c>
      <c r="C234" s="38">
        <v>1780</v>
      </c>
      <c r="D234" s="38" t="s">
        <v>10</v>
      </c>
      <c r="E234" s="38" t="s">
        <v>67</v>
      </c>
      <c r="F234" s="38" t="s">
        <v>147</v>
      </c>
      <c r="G234" s="5">
        <v>14</v>
      </c>
      <c r="H234" s="5" t="s">
        <v>7</v>
      </c>
      <c r="I234" s="156" t="s">
        <v>13</v>
      </c>
    </row>
    <row r="235" spans="1:9" x14ac:dyDescent="0.25">
      <c r="A235" s="15">
        <v>12</v>
      </c>
      <c r="B235" s="46">
        <v>0.19305555555555554</v>
      </c>
      <c r="C235" s="38">
        <v>1505</v>
      </c>
      <c r="D235" s="38" t="s">
        <v>10</v>
      </c>
      <c r="E235" s="38" t="s">
        <v>45</v>
      </c>
      <c r="F235" s="38" t="s">
        <v>146</v>
      </c>
      <c r="G235" s="5">
        <v>2</v>
      </c>
      <c r="H235" s="5" t="s">
        <v>7</v>
      </c>
      <c r="I235" s="156" t="s">
        <v>13</v>
      </c>
    </row>
    <row r="236" spans="1:9" x14ac:dyDescent="0.25">
      <c r="A236" s="15">
        <v>13</v>
      </c>
      <c r="B236" s="46">
        <v>0.2298611111111111</v>
      </c>
      <c r="C236" s="38">
        <v>1778</v>
      </c>
      <c r="D236" s="38" t="s">
        <v>10</v>
      </c>
      <c r="E236" s="38" t="s">
        <v>38</v>
      </c>
      <c r="F236" s="38" t="s">
        <v>166</v>
      </c>
      <c r="G236" s="5">
        <v>1</v>
      </c>
      <c r="H236" s="5" t="s">
        <v>7</v>
      </c>
      <c r="I236" s="156" t="s">
        <v>13</v>
      </c>
    </row>
    <row r="237" spans="1:9" x14ac:dyDescent="0.25">
      <c r="A237" s="15">
        <v>14</v>
      </c>
      <c r="B237" s="46">
        <v>0.24583333333333335</v>
      </c>
      <c r="C237" s="38">
        <v>1752</v>
      </c>
      <c r="D237" s="38" t="s">
        <v>10</v>
      </c>
      <c r="E237" s="38" t="s">
        <v>11</v>
      </c>
      <c r="F237" s="38" t="s">
        <v>24</v>
      </c>
      <c r="G237" s="5">
        <v>1</v>
      </c>
      <c r="H237" s="5" t="s">
        <v>7</v>
      </c>
      <c r="I237" s="156" t="s">
        <v>13</v>
      </c>
    </row>
    <row r="238" spans="1:9" x14ac:dyDescent="0.25">
      <c r="A238" s="15">
        <v>15</v>
      </c>
      <c r="B238" s="46">
        <v>0.25347222222222221</v>
      </c>
      <c r="C238" s="38">
        <v>1802</v>
      </c>
      <c r="D238" s="38" t="s">
        <v>10</v>
      </c>
      <c r="E238" s="38" t="s">
        <v>212</v>
      </c>
      <c r="F238" s="38" t="s">
        <v>166</v>
      </c>
      <c r="G238" s="5">
        <v>1</v>
      </c>
      <c r="H238" s="5" t="s">
        <v>7</v>
      </c>
      <c r="I238" s="156" t="s">
        <v>13</v>
      </c>
    </row>
    <row r="239" spans="1:9" x14ac:dyDescent="0.25">
      <c r="A239" s="15">
        <v>16</v>
      </c>
      <c r="B239" s="46">
        <v>0.36805555555555558</v>
      </c>
      <c r="C239" s="38">
        <v>1758</v>
      </c>
      <c r="D239" s="38" t="s">
        <v>10</v>
      </c>
      <c r="E239" s="38" t="s">
        <v>11</v>
      </c>
      <c r="F239" s="38" t="s">
        <v>12</v>
      </c>
      <c r="G239" s="5">
        <v>2</v>
      </c>
      <c r="H239" s="5" t="s">
        <v>7</v>
      </c>
      <c r="I239" s="156" t="s">
        <v>13</v>
      </c>
    </row>
    <row r="240" spans="1:9" x14ac:dyDescent="0.25">
      <c r="A240" s="22">
        <v>17</v>
      </c>
      <c r="B240" s="56">
        <v>0.375</v>
      </c>
      <c r="C240" s="43">
        <v>1740</v>
      </c>
      <c r="D240" s="43" t="s">
        <v>10</v>
      </c>
      <c r="E240" s="43" t="s">
        <v>117</v>
      </c>
      <c r="F240" s="43" t="s">
        <v>139</v>
      </c>
      <c r="G240" s="23" t="s">
        <v>96</v>
      </c>
      <c r="H240" s="23" t="s">
        <v>195</v>
      </c>
      <c r="I240" s="161" t="s">
        <v>13</v>
      </c>
    </row>
    <row r="241" spans="1:9" x14ac:dyDescent="0.25">
      <c r="A241" s="22">
        <v>18</v>
      </c>
      <c r="B241" s="56">
        <v>0.5756944444444444</v>
      </c>
      <c r="C241" s="43">
        <v>2121</v>
      </c>
      <c r="D241" s="43" t="s">
        <v>97</v>
      </c>
      <c r="E241" s="43" t="s">
        <v>213</v>
      </c>
      <c r="F241" s="43" t="s">
        <v>153</v>
      </c>
      <c r="G241" s="23" t="s">
        <v>214</v>
      </c>
      <c r="H241" s="23" t="s">
        <v>195</v>
      </c>
      <c r="I241" s="161" t="s">
        <v>13</v>
      </c>
    </row>
    <row r="242" spans="1:9" ht="19.5" thickBot="1" x14ac:dyDescent="0.3">
      <c r="A242" s="173" t="s">
        <v>215</v>
      </c>
      <c r="B242" s="174"/>
      <c r="C242" s="174"/>
      <c r="D242" s="174"/>
      <c r="E242" s="174"/>
      <c r="F242" s="174"/>
      <c r="G242" s="174"/>
      <c r="H242" s="174"/>
      <c r="I242" s="175"/>
    </row>
    <row r="243" spans="1:9" ht="19.5" thickBot="1" x14ac:dyDescent="0.3"/>
    <row r="244" spans="1:9" x14ac:dyDescent="0.25">
      <c r="A244" s="14">
        <v>1</v>
      </c>
      <c r="B244" s="45">
        <v>0.81041666666666667</v>
      </c>
      <c r="C244" s="37">
        <v>1475</v>
      </c>
      <c r="D244" s="37" t="s">
        <v>10</v>
      </c>
      <c r="E244" s="37" t="s">
        <v>216</v>
      </c>
      <c r="F244" s="37" t="s">
        <v>146</v>
      </c>
      <c r="G244" s="151">
        <v>4</v>
      </c>
      <c r="H244" s="151" t="s">
        <v>7</v>
      </c>
      <c r="I244" s="155" t="s">
        <v>13</v>
      </c>
    </row>
    <row r="245" spans="1:9" x14ac:dyDescent="0.25">
      <c r="A245" s="182">
        <v>46088</v>
      </c>
      <c r="B245" s="183"/>
      <c r="C245" s="183"/>
      <c r="D245" s="183"/>
      <c r="E245" s="183"/>
      <c r="F245" s="183"/>
      <c r="G245" s="183"/>
      <c r="H245" s="183"/>
      <c r="I245" s="184"/>
    </row>
    <row r="246" spans="1:9" x14ac:dyDescent="0.25">
      <c r="A246" s="15">
        <v>2</v>
      </c>
      <c r="B246" s="46">
        <v>1.3888888888888888E-2</v>
      </c>
      <c r="C246" s="38">
        <v>1024</v>
      </c>
      <c r="D246" s="38" t="s">
        <v>10</v>
      </c>
      <c r="E246" s="38" t="s">
        <v>11</v>
      </c>
      <c r="F246" s="38" t="s">
        <v>24</v>
      </c>
      <c r="G246" s="5">
        <v>2</v>
      </c>
      <c r="H246" s="5" t="s">
        <v>7</v>
      </c>
      <c r="I246" s="156" t="s">
        <v>208</v>
      </c>
    </row>
    <row r="247" spans="1:9" x14ac:dyDescent="0.25">
      <c r="A247" s="15">
        <v>3</v>
      </c>
      <c r="B247" s="46">
        <v>3.4722222222222224E-2</v>
      </c>
      <c r="C247" s="38">
        <v>980</v>
      </c>
      <c r="D247" s="38" t="s">
        <v>10</v>
      </c>
      <c r="E247" s="38" t="s">
        <v>206</v>
      </c>
      <c r="F247" s="38" t="s">
        <v>166</v>
      </c>
      <c r="G247" s="5">
        <v>1</v>
      </c>
      <c r="H247" s="5" t="s">
        <v>7</v>
      </c>
      <c r="I247" s="156" t="s">
        <v>208</v>
      </c>
    </row>
    <row r="248" spans="1:9" x14ac:dyDescent="0.25">
      <c r="A248" s="15">
        <v>3</v>
      </c>
      <c r="B248" s="46">
        <v>9.0277777777777776E-2</v>
      </c>
      <c r="C248" s="38">
        <v>1020</v>
      </c>
      <c r="D248" s="38" t="s">
        <v>10</v>
      </c>
      <c r="E248" s="38" t="s">
        <v>11</v>
      </c>
      <c r="F248" s="38" t="s">
        <v>24</v>
      </c>
      <c r="G248" s="5">
        <v>2</v>
      </c>
      <c r="H248" s="5" t="s">
        <v>7</v>
      </c>
      <c r="I248" s="156" t="s">
        <v>208</v>
      </c>
    </row>
    <row r="249" spans="1:9" x14ac:dyDescent="0.25">
      <c r="A249" s="15">
        <v>4</v>
      </c>
      <c r="B249" s="46">
        <v>0.15</v>
      </c>
      <c r="C249" s="38">
        <v>992</v>
      </c>
      <c r="D249" s="38" t="s">
        <v>10</v>
      </c>
      <c r="E249" s="38" t="s">
        <v>38</v>
      </c>
      <c r="F249" s="38" t="s">
        <v>166</v>
      </c>
      <c r="G249" s="5">
        <v>1</v>
      </c>
      <c r="H249" s="5" t="s">
        <v>7</v>
      </c>
      <c r="I249" s="156" t="s">
        <v>208</v>
      </c>
    </row>
    <row r="250" spans="1:9" x14ac:dyDescent="0.25">
      <c r="A250" s="15">
        <v>5</v>
      </c>
      <c r="B250" s="46">
        <v>0.21875</v>
      </c>
      <c r="C250" s="38">
        <v>1019</v>
      </c>
      <c r="D250" s="38" t="s">
        <v>10</v>
      </c>
      <c r="E250" s="38" t="s">
        <v>11</v>
      </c>
      <c r="F250" s="38" t="s">
        <v>24</v>
      </c>
      <c r="G250" s="5">
        <v>2</v>
      </c>
      <c r="H250" s="5" t="s">
        <v>7</v>
      </c>
      <c r="I250" s="156" t="s">
        <v>208</v>
      </c>
    </row>
    <row r="251" spans="1:9" x14ac:dyDescent="0.25">
      <c r="A251" s="15">
        <v>6</v>
      </c>
      <c r="B251" s="46">
        <v>0.24513888888888888</v>
      </c>
      <c r="C251" s="38">
        <v>1208</v>
      </c>
      <c r="D251" s="38" t="s">
        <v>10</v>
      </c>
      <c r="E251" s="38" t="s">
        <v>217</v>
      </c>
      <c r="F251" s="38" t="s">
        <v>166</v>
      </c>
      <c r="G251" s="5">
        <v>2</v>
      </c>
      <c r="H251" s="5" t="s">
        <v>7</v>
      </c>
      <c r="I251" s="156" t="s">
        <v>208</v>
      </c>
    </row>
    <row r="252" spans="1:9" x14ac:dyDescent="0.25">
      <c r="A252" s="15">
        <v>7</v>
      </c>
      <c r="B252" s="46">
        <v>0.3611111111111111</v>
      </c>
      <c r="C252" s="38">
        <v>1003</v>
      </c>
      <c r="D252" s="38" t="s">
        <v>10</v>
      </c>
      <c r="E252" s="38" t="s">
        <v>43</v>
      </c>
      <c r="F252" s="38" t="s">
        <v>218</v>
      </c>
      <c r="G252" s="5">
        <v>3</v>
      </c>
      <c r="H252" s="5" t="s">
        <v>7</v>
      </c>
      <c r="I252" s="156" t="s">
        <v>208</v>
      </c>
    </row>
    <row r="253" spans="1:9" x14ac:dyDescent="0.25">
      <c r="A253" s="15">
        <v>8</v>
      </c>
      <c r="B253" s="46">
        <v>0.49305555555555558</v>
      </c>
      <c r="C253" s="38">
        <v>3864</v>
      </c>
      <c r="D253" s="38" t="s">
        <v>10</v>
      </c>
      <c r="E253" s="38" t="s">
        <v>220</v>
      </c>
      <c r="F253" s="38" t="s">
        <v>90</v>
      </c>
      <c r="G253" s="5" t="s">
        <v>219</v>
      </c>
      <c r="H253" s="5" t="s">
        <v>7</v>
      </c>
      <c r="I253" s="156" t="s">
        <v>208</v>
      </c>
    </row>
    <row r="254" spans="1:9" x14ac:dyDescent="0.25">
      <c r="A254" s="22">
        <v>9</v>
      </c>
      <c r="B254" s="56">
        <v>0.53749999999999998</v>
      </c>
      <c r="C254" s="43"/>
      <c r="D254" s="43" t="s">
        <v>221</v>
      </c>
      <c r="E254" s="43" t="s">
        <v>222</v>
      </c>
      <c r="F254" s="43" t="s">
        <v>90</v>
      </c>
      <c r="G254" s="23" t="s">
        <v>223</v>
      </c>
      <c r="H254" s="23" t="s">
        <v>8</v>
      </c>
      <c r="I254" s="161" t="s">
        <v>208</v>
      </c>
    </row>
    <row r="255" spans="1:9" x14ac:dyDescent="0.25">
      <c r="A255" s="22">
        <v>10</v>
      </c>
      <c r="B255" s="56">
        <v>0.57777777777777783</v>
      </c>
      <c r="C255" s="43"/>
      <c r="D255" s="43" t="s">
        <v>97</v>
      </c>
      <c r="E255" s="43" t="s">
        <v>224</v>
      </c>
      <c r="F255" s="43" t="s">
        <v>91</v>
      </c>
      <c r="G255" s="23" t="s">
        <v>225</v>
      </c>
      <c r="H255" s="23" t="s">
        <v>8</v>
      </c>
      <c r="I255" s="161" t="s">
        <v>208</v>
      </c>
    </row>
    <row r="256" spans="1:9" ht="19.5" thickBot="1" x14ac:dyDescent="0.3">
      <c r="A256" s="173" t="s">
        <v>226</v>
      </c>
      <c r="B256" s="174"/>
      <c r="C256" s="174"/>
      <c r="D256" s="174"/>
      <c r="E256" s="174"/>
      <c r="F256" s="174"/>
      <c r="G256" s="174"/>
      <c r="H256" s="174"/>
      <c r="I256" s="175"/>
    </row>
    <row r="257" spans="1:9" ht="19.5" thickBot="1" x14ac:dyDescent="0.3"/>
    <row r="258" spans="1:9" x14ac:dyDescent="0.25">
      <c r="A258" s="14">
        <v>1</v>
      </c>
      <c r="B258" s="45">
        <v>0.67361111111111116</v>
      </c>
      <c r="C258" s="37">
        <v>1255</v>
      </c>
      <c r="D258" s="37" t="s">
        <v>10</v>
      </c>
      <c r="E258" s="37" t="s">
        <v>20</v>
      </c>
      <c r="F258" s="37" t="s">
        <v>146</v>
      </c>
      <c r="G258" s="151">
        <v>2</v>
      </c>
      <c r="H258" s="151" t="s">
        <v>7</v>
      </c>
      <c r="I258" s="155" t="s">
        <v>208</v>
      </c>
    </row>
    <row r="259" spans="1:9" x14ac:dyDescent="0.25">
      <c r="A259" s="15">
        <v>2</v>
      </c>
      <c r="B259" s="46">
        <v>0.98333333333333339</v>
      </c>
      <c r="C259" s="38">
        <v>1019</v>
      </c>
      <c r="D259" s="38" t="s">
        <v>10</v>
      </c>
      <c r="E259" s="38" t="s">
        <v>11</v>
      </c>
      <c r="F259" s="38" t="s">
        <v>24</v>
      </c>
      <c r="G259" s="5">
        <v>2</v>
      </c>
      <c r="H259" s="5" t="s">
        <v>7</v>
      </c>
      <c r="I259" s="156" t="s">
        <v>208</v>
      </c>
    </row>
    <row r="260" spans="1:9" x14ac:dyDescent="0.25">
      <c r="A260" s="182">
        <v>46089</v>
      </c>
      <c r="B260" s="183"/>
      <c r="C260" s="183"/>
      <c r="D260" s="183"/>
      <c r="E260" s="183"/>
      <c r="F260" s="183"/>
      <c r="G260" s="183"/>
      <c r="H260" s="183"/>
      <c r="I260" s="184"/>
    </row>
    <row r="261" spans="1:9" x14ac:dyDescent="0.25">
      <c r="A261" s="15">
        <v>3</v>
      </c>
      <c r="B261" s="46">
        <v>8.8888888888888892E-2</v>
      </c>
      <c r="C261" s="38" t="s">
        <v>227</v>
      </c>
      <c r="D261" s="38" t="s">
        <v>97</v>
      </c>
      <c r="E261" s="38" t="s">
        <v>228</v>
      </c>
      <c r="F261" s="38" t="s">
        <v>103</v>
      </c>
      <c r="G261" s="5" t="s">
        <v>229</v>
      </c>
      <c r="H261" s="5" t="s">
        <v>7</v>
      </c>
      <c r="I261" s="156" t="s">
        <v>208</v>
      </c>
    </row>
    <row r="262" spans="1:9" x14ac:dyDescent="0.25">
      <c r="A262" s="15">
        <v>4</v>
      </c>
      <c r="B262" s="46">
        <v>9.8611111111111108E-2</v>
      </c>
      <c r="C262" s="38">
        <v>1012</v>
      </c>
      <c r="D262" s="38" t="s">
        <v>10</v>
      </c>
      <c r="E262" s="38" t="s">
        <v>104</v>
      </c>
      <c r="F262" s="38" t="s">
        <v>24</v>
      </c>
      <c r="G262" s="5">
        <v>2</v>
      </c>
      <c r="H262" s="5" t="s">
        <v>7</v>
      </c>
      <c r="I262" s="156" t="s">
        <v>208</v>
      </c>
    </row>
    <row r="263" spans="1:9" x14ac:dyDescent="0.25">
      <c r="A263" s="15">
        <v>5</v>
      </c>
      <c r="B263" s="46">
        <v>0.1451388888888889</v>
      </c>
      <c r="C263" s="38">
        <v>1255</v>
      </c>
      <c r="D263" s="38" t="s">
        <v>10</v>
      </c>
      <c r="E263" s="38" t="s">
        <v>20</v>
      </c>
      <c r="F263" s="38" t="s">
        <v>146</v>
      </c>
      <c r="G263" s="5">
        <v>1</v>
      </c>
      <c r="H263" s="5" t="s">
        <v>7</v>
      </c>
      <c r="I263" s="156" t="s">
        <v>208</v>
      </c>
    </row>
    <row r="264" spans="1:9" x14ac:dyDescent="0.25">
      <c r="A264" s="15">
        <v>6</v>
      </c>
      <c r="B264" s="46">
        <v>0.20833333333333334</v>
      </c>
      <c r="C264" s="38">
        <v>1216</v>
      </c>
      <c r="D264" s="38" t="s">
        <v>10</v>
      </c>
      <c r="E264" s="38" t="s">
        <v>228</v>
      </c>
      <c r="F264" s="38" t="s">
        <v>166</v>
      </c>
      <c r="G264" s="5">
        <v>1</v>
      </c>
      <c r="H264" s="5" t="s">
        <v>7</v>
      </c>
      <c r="I264" s="156" t="s">
        <v>208</v>
      </c>
    </row>
    <row r="265" spans="1:9" x14ac:dyDescent="0.25">
      <c r="A265" s="15">
        <v>7</v>
      </c>
      <c r="B265" s="46">
        <v>0.20902777777777778</v>
      </c>
      <c r="C265" s="38">
        <v>1216</v>
      </c>
      <c r="D265" s="38" t="s">
        <v>97</v>
      </c>
      <c r="E265" s="38" t="s">
        <v>228</v>
      </c>
      <c r="F265" s="38" t="s">
        <v>147</v>
      </c>
      <c r="G265" s="5" t="s">
        <v>230</v>
      </c>
      <c r="H265" s="5" t="s">
        <v>7</v>
      </c>
      <c r="I265" s="156" t="s">
        <v>208</v>
      </c>
    </row>
    <row r="266" spans="1:9" x14ac:dyDescent="0.25">
      <c r="A266" s="15">
        <v>8</v>
      </c>
      <c r="B266" s="46">
        <v>0.21111111111111111</v>
      </c>
      <c r="C266" s="38">
        <v>1020</v>
      </c>
      <c r="D266" s="38" t="s">
        <v>10</v>
      </c>
      <c r="E266" s="38" t="s">
        <v>11</v>
      </c>
      <c r="F266" s="38" t="s">
        <v>24</v>
      </c>
      <c r="G266" s="5">
        <v>2</v>
      </c>
      <c r="H266" s="5" t="s">
        <v>7</v>
      </c>
      <c r="I266" s="156" t="s">
        <v>208</v>
      </c>
    </row>
    <row r="267" spans="1:9" x14ac:dyDescent="0.25">
      <c r="A267" s="15">
        <v>9</v>
      </c>
      <c r="B267" s="46">
        <v>0.25</v>
      </c>
      <c r="C267" s="38">
        <v>1504</v>
      </c>
      <c r="D267" s="38" t="s">
        <v>10</v>
      </c>
      <c r="E267" s="38" t="s">
        <v>231</v>
      </c>
      <c r="F267" s="38" t="s">
        <v>146</v>
      </c>
      <c r="G267" s="5">
        <v>1</v>
      </c>
      <c r="H267" s="5" t="s">
        <v>7</v>
      </c>
      <c r="I267" s="156" t="s">
        <v>208</v>
      </c>
    </row>
    <row r="268" spans="1:9" x14ac:dyDescent="0.25">
      <c r="A268" s="15">
        <v>10</v>
      </c>
      <c r="B268" s="46">
        <v>0.25138888888888888</v>
      </c>
      <c r="C268" s="38">
        <v>1505</v>
      </c>
      <c r="D268" s="38" t="s">
        <v>10</v>
      </c>
      <c r="E268" s="38" t="s">
        <v>231</v>
      </c>
      <c r="F268" s="38" t="s">
        <v>153</v>
      </c>
      <c r="G268" s="5">
        <v>2</v>
      </c>
      <c r="H268" s="5" t="s">
        <v>7</v>
      </c>
      <c r="I268" s="156" t="s">
        <v>208</v>
      </c>
    </row>
    <row r="269" spans="1:9" x14ac:dyDescent="0.25">
      <c r="A269" s="22">
        <v>11</v>
      </c>
      <c r="B269" s="56">
        <v>0.40833333333333338</v>
      </c>
      <c r="C269" s="43"/>
      <c r="D269" s="43" t="s">
        <v>232</v>
      </c>
      <c r="E269" s="43" t="s">
        <v>233</v>
      </c>
      <c r="F269" s="43" t="s">
        <v>103</v>
      </c>
      <c r="G269" s="23" t="s">
        <v>234</v>
      </c>
      <c r="H269" s="23" t="s">
        <v>8</v>
      </c>
      <c r="I269" s="161" t="s">
        <v>208</v>
      </c>
    </row>
    <row r="270" spans="1:9" x14ac:dyDescent="0.25">
      <c r="A270" s="15">
        <v>12</v>
      </c>
      <c r="B270" s="46">
        <v>0.40972222222222227</v>
      </c>
      <c r="C270" s="38">
        <v>1004</v>
      </c>
      <c r="D270" s="38" t="s">
        <v>10</v>
      </c>
      <c r="E270" s="38" t="s">
        <v>104</v>
      </c>
      <c r="F270" s="38" t="s">
        <v>218</v>
      </c>
      <c r="G270" s="5">
        <v>3</v>
      </c>
      <c r="H270" s="5" t="s">
        <v>7</v>
      </c>
      <c r="I270" s="156" t="s">
        <v>208</v>
      </c>
    </row>
    <row r="271" spans="1:9" ht="19.5" thickBot="1" x14ac:dyDescent="0.3">
      <c r="A271" s="173" t="s">
        <v>235</v>
      </c>
      <c r="B271" s="174"/>
      <c r="C271" s="174"/>
      <c r="D271" s="174"/>
      <c r="E271" s="174"/>
      <c r="F271" s="174"/>
      <c r="G271" s="174"/>
      <c r="H271" s="174"/>
      <c r="I271" s="175"/>
    </row>
    <row r="272" spans="1:9" ht="19.5" thickBot="1" x14ac:dyDescent="0.3"/>
    <row r="273" spans="1:9" x14ac:dyDescent="0.25">
      <c r="A273" s="87">
        <v>1</v>
      </c>
      <c r="B273" s="88">
        <v>0.8520833333333333</v>
      </c>
      <c r="C273" s="89" t="s">
        <v>227</v>
      </c>
      <c r="D273" s="89" t="s">
        <v>97</v>
      </c>
      <c r="E273" s="89" t="s">
        <v>22</v>
      </c>
      <c r="F273" s="89" t="s">
        <v>103</v>
      </c>
      <c r="G273" s="90" t="s">
        <v>236</v>
      </c>
      <c r="H273" s="90" t="s">
        <v>8</v>
      </c>
      <c r="I273" s="168" t="s">
        <v>208</v>
      </c>
    </row>
    <row r="274" spans="1:9" x14ac:dyDescent="0.25">
      <c r="A274" s="15">
        <v>2</v>
      </c>
      <c r="B274" s="46">
        <v>0.9902777777777777</v>
      </c>
      <c r="C274" s="38">
        <v>1012</v>
      </c>
      <c r="D274" s="38" t="s">
        <v>10</v>
      </c>
      <c r="E274" s="38" t="s">
        <v>104</v>
      </c>
      <c r="F274" s="38" t="s">
        <v>24</v>
      </c>
      <c r="G274" s="5">
        <v>2</v>
      </c>
      <c r="H274" s="5" t="s">
        <v>7</v>
      </c>
      <c r="I274" s="156" t="s">
        <v>208</v>
      </c>
    </row>
    <row r="275" spans="1:9" x14ac:dyDescent="0.25">
      <c r="A275" s="182">
        <v>46090</v>
      </c>
      <c r="B275" s="183"/>
      <c r="C275" s="183"/>
      <c r="D275" s="183"/>
      <c r="E275" s="183"/>
      <c r="F275" s="183"/>
      <c r="G275" s="183"/>
      <c r="H275" s="183"/>
      <c r="I275" s="184"/>
    </row>
    <row r="276" spans="1:9" x14ac:dyDescent="0.25">
      <c r="A276" s="15">
        <v>3</v>
      </c>
      <c r="B276" s="46">
        <v>7.2222222222222229E-2</v>
      </c>
      <c r="C276" s="38">
        <v>1020</v>
      </c>
      <c r="D276" s="38" t="s">
        <v>10</v>
      </c>
      <c r="E276" s="38" t="s">
        <v>11</v>
      </c>
      <c r="F276" s="38" t="s">
        <v>24</v>
      </c>
      <c r="G276" s="5">
        <v>2</v>
      </c>
      <c r="H276" s="5" t="s">
        <v>7</v>
      </c>
      <c r="I276" s="156" t="s">
        <v>208</v>
      </c>
    </row>
    <row r="277" spans="1:9" x14ac:dyDescent="0.25">
      <c r="A277" s="15">
        <v>4</v>
      </c>
      <c r="B277" s="46">
        <v>0.13472222222222222</v>
      </c>
      <c r="C277" s="38">
        <v>1020</v>
      </c>
      <c r="D277" s="38" t="s">
        <v>10</v>
      </c>
      <c r="E277" s="38" t="s">
        <v>11</v>
      </c>
      <c r="F277" s="38" t="s">
        <v>24</v>
      </c>
      <c r="G277" s="5">
        <v>2</v>
      </c>
      <c r="H277" s="5" t="s">
        <v>7</v>
      </c>
      <c r="I277" s="156" t="s">
        <v>208</v>
      </c>
    </row>
    <row r="278" spans="1:9" x14ac:dyDescent="0.25">
      <c r="A278" s="15">
        <v>5</v>
      </c>
      <c r="B278" s="46">
        <v>0.22152777777777777</v>
      </c>
      <c r="C278" s="38">
        <v>1468</v>
      </c>
      <c r="D278" s="38" t="s">
        <v>10</v>
      </c>
      <c r="E278" s="38" t="s">
        <v>167</v>
      </c>
      <c r="F278" s="38" t="s">
        <v>146</v>
      </c>
      <c r="G278" s="5">
        <v>1</v>
      </c>
      <c r="H278" s="5" t="s">
        <v>7</v>
      </c>
      <c r="I278" s="156" t="s">
        <v>208</v>
      </c>
    </row>
    <row r="279" spans="1:9" x14ac:dyDescent="0.25">
      <c r="A279" s="15">
        <v>6</v>
      </c>
      <c r="B279" s="46">
        <v>0.2298611111111111</v>
      </c>
      <c r="C279" s="38">
        <v>992</v>
      </c>
      <c r="D279" s="38" t="s">
        <v>10</v>
      </c>
      <c r="E279" s="38" t="s">
        <v>38</v>
      </c>
      <c r="F279" s="38" t="s">
        <v>166</v>
      </c>
      <c r="G279" s="5">
        <v>1</v>
      </c>
      <c r="H279" s="5" t="s">
        <v>7</v>
      </c>
      <c r="I279" s="156" t="s">
        <v>208</v>
      </c>
    </row>
    <row r="280" spans="1:9" x14ac:dyDescent="0.25">
      <c r="A280" s="15">
        <v>7</v>
      </c>
      <c r="B280" s="46">
        <v>0.23472222222222219</v>
      </c>
      <c r="C280" s="38">
        <v>1012</v>
      </c>
      <c r="D280" s="38" t="s">
        <v>10</v>
      </c>
      <c r="E280" s="38" t="s">
        <v>104</v>
      </c>
      <c r="F280" s="38" t="s">
        <v>24</v>
      </c>
      <c r="G280" s="5">
        <v>2</v>
      </c>
      <c r="H280" s="5" t="s">
        <v>7</v>
      </c>
      <c r="I280" s="156" t="s">
        <v>208</v>
      </c>
    </row>
    <row r="281" spans="1:9" x14ac:dyDescent="0.25">
      <c r="A281" s="15">
        <v>8</v>
      </c>
      <c r="B281" s="46">
        <v>0.25138888888888888</v>
      </c>
      <c r="C281" s="38">
        <v>991</v>
      </c>
      <c r="D281" s="38" t="s">
        <v>10</v>
      </c>
      <c r="E281" s="38" t="s">
        <v>38</v>
      </c>
      <c r="F281" s="38" t="s">
        <v>166</v>
      </c>
      <c r="G281" s="5">
        <v>1</v>
      </c>
      <c r="H281" s="5" t="s">
        <v>7</v>
      </c>
      <c r="I281" s="156" t="s">
        <v>208</v>
      </c>
    </row>
    <row r="282" spans="1:9" x14ac:dyDescent="0.25">
      <c r="A282" s="15">
        <v>9</v>
      </c>
      <c r="B282" s="46">
        <v>0.26041666666666669</v>
      </c>
      <c r="C282" s="38">
        <v>991</v>
      </c>
      <c r="D282" s="38" t="s">
        <v>10</v>
      </c>
      <c r="E282" s="38" t="s">
        <v>38</v>
      </c>
      <c r="F282" s="38" t="s">
        <v>166</v>
      </c>
      <c r="G282" s="5">
        <v>1</v>
      </c>
      <c r="H282" s="5" t="s">
        <v>7</v>
      </c>
      <c r="I282" s="156" t="s">
        <v>208</v>
      </c>
    </row>
    <row r="283" spans="1:9" x14ac:dyDescent="0.25">
      <c r="A283" s="15">
        <v>10</v>
      </c>
      <c r="B283" s="46">
        <v>0.32500000000000001</v>
      </c>
      <c r="C283" s="38">
        <v>1045</v>
      </c>
      <c r="D283" s="38" t="s">
        <v>10</v>
      </c>
      <c r="E283" s="38" t="s">
        <v>237</v>
      </c>
      <c r="F283" s="38" t="s">
        <v>238</v>
      </c>
      <c r="G283" s="5">
        <v>6</v>
      </c>
      <c r="H283" s="5" t="s">
        <v>7</v>
      </c>
      <c r="I283" s="156" t="s">
        <v>208</v>
      </c>
    </row>
    <row r="284" spans="1:9" x14ac:dyDescent="0.25">
      <c r="A284" s="22">
        <v>11</v>
      </c>
      <c r="B284" s="56">
        <v>0.39097222222222222</v>
      </c>
      <c r="C284" s="43"/>
      <c r="D284" s="43" t="s">
        <v>97</v>
      </c>
      <c r="E284" s="43" t="s">
        <v>239</v>
      </c>
      <c r="F284" s="43" t="s">
        <v>139</v>
      </c>
      <c r="G284" s="23" t="s">
        <v>214</v>
      </c>
      <c r="H284" s="23" t="s">
        <v>8</v>
      </c>
      <c r="I284" s="161" t="s">
        <v>208</v>
      </c>
    </row>
    <row r="285" spans="1:9" x14ac:dyDescent="0.25">
      <c r="A285" s="15">
        <v>12</v>
      </c>
      <c r="B285" s="46">
        <v>0.39583333333333331</v>
      </c>
      <c r="C285" s="38"/>
      <c r="D285" s="38" t="s">
        <v>10</v>
      </c>
      <c r="E285" s="66" t="s">
        <v>240</v>
      </c>
      <c r="F285" s="38" t="s">
        <v>90</v>
      </c>
      <c r="G285" s="5" t="s">
        <v>193</v>
      </c>
      <c r="H285" s="5" t="s">
        <v>181</v>
      </c>
      <c r="I285" s="156" t="s">
        <v>208</v>
      </c>
    </row>
    <row r="286" spans="1:9" x14ac:dyDescent="0.25">
      <c r="A286" s="22">
        <v>13</v>
      </c>
      <c r="B286" s="56">
        <v>0.52083333333333337</v>
      </c>
      <c r="C286" s="43"/>
      <c r="D286" s="43" t="s">
        <v>10</v>
      </c>
      <c r="E286" s="43" t="s">
        <v>224</v>
      </c>
      <c r="F286" s="43" t="s">
        <v>91</v>
      </c>
      <c r="G286" s="23" t="s">
        <v>73</v>
      </c>
      <c r="H286" s="23" t="s">
        <v>8</v>
      </c>
      <c r="I286" s="161" t="s">
        <v>208</v>
      </c>
    </row>
    <row r="287" spans="1:9" x14ac:dyDescent="0.25">
      <c r="A287" s="15">
        <v>14</v>
      </c>
      <c r="B287" s="46">
        <v>0.63194444444444442</v>
      </c>
      <c r="C287" s="38">
        <v>1255</v>
      </c>
      <c r="D287" s="38" t="s">
        <v>10</v>
      </c>
      <c r="E287" s="38" t="s">
        <v>20</v>
      </c>
      <c r="F287" s="38" t="s">
        <v>153</v>
      </c>
      <c r="G287" s="5">
        <v>4</v>
      </c>
      <c r="H287" s="5" t="s">
        <v>7</v>
      </c>
      <c r="I287" s="156" t="s">
        <v>208</v>
      </c>
    </row>
    <row r="288" spans="1:9" ht="19.5" thickBot="1" x14ac:dyDescent="0.3">
      <c r="A288" s="173" t="s">
        <v>241</v>
      </c>
      <c r="B288" s="174"/>
      <c r="C288" s="174"/>
      <c r="D288" s="174"/>
      <c r="E288" s="174"/>
      <c r="F288" s="174"/>
      <c r="G288" s="174"/>
      <c r="H288" s="174"/>
      <c r="I288" s="175"/>
    </row>
    <row r="289" spans="1:9" ht="19.5" thickBot="1" x14ac:dyDescent="0.3"/>
    <row r="290" spans="1:9" x14ac:dyDescent="0.25">
      <c r="A290" s="87">
        <v>1</v>
      </c>
      <c r="B290" s="88">
        <v>0.72222222222222221</v>
      </c>
      <c r="C290" s="89">
        <v>3852</v>
      </c>
      <c r="D290" s="89" t="s">
        <v>97</v>
      </c>
      <c r="E290" s="89" t="s">
        <v>29</v>
      </c>
      <c r="F290" s="89" t="s">
        <v>90</v>
      </c>
      <c r="G290" s="90" t="s">
        <v>242</v>
      </c>
      <c r="H290" s="90" t="s">
        <v>195</v>
      </c>
      <c r="I290" s="167" t="s">
        <v>93</v>
      </c>
    </row>
    <row r="291" spans="1:9" x14ac:dyDescent="0.25">
      <c r="A291" s="15">
        <v>2</v>
      </c>
      <c r="B291" s="46">
        <v>0.90694444444444444</v>
      </c>
      <c r="C291" s="38">
        <v>1213</v>
      </c>
      <c r="D291" s="38" t="s">
        <v>10</v>
      </c>
      <c r="E291" s="38" t="s">
        <v>22</v>
      </c>
      <c r="F291" s="38" t="s">
        <v>166</v>
      </c>
      <c r="G291" s="5">
        <v>1</v>
      </c>
      <c r="H291" s="5" t="s">
        <v>7</v>
      </c>
      <c r="I291" s="156" t="s">
        <v>208</v>
      </c>
    </row>
    <row r="292" spans="1:9" x14ac:dyDescent="0.25">
      <c r="A292" s="15">
        <v>3</v>
      </c>
      <c r="B292" s="46">
        <v>0.92569444444444438</v>
      </c>
      <c r="C292" s="38" t="s">
        <v>227</v>
      </c>
      <c r="D292" s="38" t="s">
        <v>10</v>
      </c>
      <c r="E292" s="38" t="s">
        <v>22</v>
      </c>
      <c r="F292" s="38" t="s">
        <v>153</v>
      </c>
      <c r="G292" s="5">
        <v>5</v>
      </c>
      <c r="H292" s="5" t="s">
        <v>7</v>
      </c>
      <c r="I292" s="156" t="s">
        <v>208</v>
      </c>
    </row>
    <row r="293" spans="1:9" x14ac:dyDescent="0.25">
      <c r="A293" s="15">
        <v>4</v>
      </c>
      <c r="B293" s="46">
        <v>0.98541666666666661</v>
      </c>
      <c r="C293" s="38">
        <v>1019</v>
      </c>
      <c r="D293" s="38" t="s">
        <v>10</v>
      </c>
      <c r="E293" s="38" t="s">
        <v>11</v>
      </c>
      <c r="F293" s="38" t="s">
        <v>24</v>
      </c>
      <c r="G293" s="5">
        <v>2</v>
      </c>
      <c r="H293" s="5" t="s">
        <v>7</v>
      </c>
      <c r="I293" s="156" t="s">
        <v>208</v>
      </c>
    </row>
    <row r="294" spans="1:9" x14ac:dyDescent="0.25">
      <c r="A294" s="182">
        <v>46091</v>
      </c>
      <c r="B294" s="183"/>
      <c r="C294" s="183"/>
      <c r="D294" s="183"/>
      <c r="E294" s="183"/>
      <c r="F294" s="183"/>
      <c r="G294" s="183"/>
      <c r="H294" s="183"/>
      <c r="I294" s="184"/>
    </row>
    <row r="295" spans="1:9" x14ac:dyDescent="0.25">
      <c r="A295" s="15">
        <v>5</v>
      </c>
      <c r="B295" s="46">
        <v>0.10069444444444443</v>
      </c>
      <c r="C295" s="38">
        <v>1012</v>
      </c>
      <c r="D295" s="38" t="s">
        <v>10</v>
      </c>
      <c r="E295" s="38" t="s">
        <v>104</v>
      </c>
      <c r="F295" s="38" t="s">
        <v>24</v>
      </c>
      <c r="G295" s="5">
        <v>1</v>
      </c>
      <c r="H295" s="5" t="s">
        <v>7</v>
      </c>
      <c r="I295" s="156" t="s">
        <v>208</v>
      </c>
    </row>
    <row r="296" spans="1:9" x14ac:dyDescent="0.25">
      <c r="A296" s="15">
        <v>6</v>
      </c>
      <c r="B296" s="46">
        <v>0.23263888888888887</v>
      </c>
      <c r="C296" s="38">
        <v>1468</v>
      </c>
      <c r="D296" s="38" t="s">
        <v>10</v>
      </c>
      <c r="E296" s="38" t="s">
        <v>244</v>
      </c>
      <c r="F296" s="38" t="s">
        <v>146</v>
      </c>
      <c r="G296" s="5">
        <v>2</v>
      </c>
      <c r="H296" s="5" t="s">
        <v>7</v>
      </c>
      <c r="I296" s="156" t="s">
        <v>208</v>
      </c>
    </row>
    <row r="297" spans="1:9" x14ac:dyDescent="0.25">
      <c r="A297" s="15">
        <v>7</v>
      </c>
      <c r="B297" s="46">
        <v>0.31944444444444448</v>
      </c>
      <c r="C297" s="38">
        <v>1013</v>
      </c>
      <c r="D297" s="38" t="s">
        <v>10</v>
      </c>
      <c r="E297" s="38" t="s">
        <v>104</v>
      </c>
      <c r="F297" s="38" t="s">
        <v>238</v>
      </c>
      <c r="G297" s="5">
        <v>2</v>
      </c>
      <c r="H297" s="5" t="s">
        <v>7</v>
      </c>
      <c r="I297" s="156" t="s">
        <v>208</v>
      </c>
    </row>
    <row r="298" spans="1:9" x14ac:dyDescent="0.25">
      <c r="A298" s="22">
        <v>8</v>
      </c>
      <c r="B298" s="56">
        <v>0.47430555555555554</v>
      </c>
      <c r="C298" s="43"/>
      <c r="D298" s="43" t="s">
        <v>97</v>
      </c>
      <c r="E298" s="43" t="s">
        <v>245</v>
      </c>
      <c r="F298" s="43" t="s">
        <v>103</v>
      </c>
      <c r="G298" s="23">
        <v>11</v>
      </c>
      <c r="H298" s="23" t="s">
        <v>8</v>
      </c>
      <c r="I298" s="161" t="s">
        <v>208</v>
      </c>
    </row>
    <row r="299" spans="1:9" x14ac:dyDescent="0.25">
      <c r="A299" s="15">
        <v>9</v>
      </c>
      <c r="B299" s="46">
        <v>0.5</v>
      </c>
      <c r="C299" s="38">
        <v>1014</v>
      </c>
      <c r="D299" s="38" t="s">
        <v>10</v>
      </c>
      <c r="E299" s="38" t="s">
        <v>15</v>
      </c>
      <c r="F299" s="38" t="s">
        <v>238</v>
      </c>
      <c r="G299" s="5">
        <v>3</v>
      </c>
      <c r="H299" s="5" t="s">
        <v>7</v>
      </c>
      <c r="I299" s="156" t="s">
        <v>208</v>
      </c>
    </row>
    <row r="300" spans="1:9" x14ac:dyDescent="0.25">
      <c r="A300" s="22">
        <v>10</v>
      </c>
      <c r="B300" s="56">
        <v>0.51180555555555551</v>
      </c>
      <c r="C300" s="43"/>
      <c r="D300" s="43" t="s">
        <v>97</v>
      </c>
      <c r="E300" s="43" t="s">
        <v>246</v>
      </c>
      <c r="F300" s="43" t="s">
        <v>90</v>
      </c>
      <c r="G300" s="23" t="s">
        <v>236</v>
      </c>
      <c r="H300" s="23" t="s">
        <v>8</v>
      </c>
      <c r="I300" s="161" t="s">
        <v>208</v>
      </c>
    </row>
    <row r="301" spans="1:9" ht="19.5" thickBot="1" x14ac:dyDescent="0.3">
      <c r="A301" s="173" t="s">
        <v>251</v>
      </c>
      <c r="B301" s="174"/>
      <c r="C301" s="174"/>
      <c r="D301" s="174"/>
      <c r="E301" s="174"/>
      <c r="F301" s="174"/>
      <c r="G301" s="174"/>
      <c r="H301" s="174"/>
      <c r="I301" s="175"/>
    </row>
    <row r="302" spans="1:9" ht="19.5" thickBot="1" x14ac:dyDescent="0.3"/>
    <row r="303" spans="1:9" x14ac:dyDescent="0.25">
      <c r="A303" s="14">
        <v>1</v>
      </c>
      <c r="B303" s="45">
        <v>0.6875</v>
      </c>
      <c r="C303" s="37"/>
      <c r="D303" s="37" t="s">
        <v>10</v>
      </c>
      <c r="E303" s="92" t="s">
        <v>247</v>
      </c>
      <c r="F303" s="37" t="s">
        <v>139</v>
      </c>
      <c r="G303" s="151" t="s">
        <v>172</v>
      </c>
      <c r="H303" s="151" t="s">
        <v>181</v>
      </c>
      <c r="I303" s="155" t="s">
        <v>243</v>
      </c>
    </row>
    <row r="304" spans="1:9" x14ac:dyDescent="0.25">
      <c r="A304" s="15">
        <v>2</v>
      </c>
      <c r="B304" s="46">
        <v>0.90972222222222221</v>
      </c>
      <c r="C304" s="38">
        <v>943</v>
      </c>
      <c r="D304" s="38" t="s">
        <v>10</v>
      </c>
      <c r="E304" s="38" t="s">
        <v>220</v>
      </c>
      <c r="F304" s="38" t="s">
        <v>166</v>
      </c>
      <c r="G304" s="5">
        <v>1</v>
      </c>
      <c r="H304" s="5" t="s">
        <v>7</v>
      </c>
      <c r="I304" s="156" t="s">
        <v>243</v>
      </c>
    </row>
    <row r="305" spans="1:9" x14ac:dyDescent="0.25">
      <c r="A305" s="15">
        <v>3</v>
      </c>
      <c r="B305" s="46">
        <v>0.9784722222222223</v>
      </c>
      <c r="C305" s="38">
        <v>1020</v>
      </c>
      <c r="D305" s="38" t="s">
        <v>10</v>
      </c>
      <c r="E305" s="38" t="s">
        <v>11</v>
      </c>
      <c r="F305" s="38" t="s">
        <v>24</v>
      </c>
      <c r="G305" s="5">
        <v>2</v>
      </c>
      <c r="H305" s="5" t="s">
        <v>7</v>
      </c>
      <c r="I305" s="156" t="s">
        <v>243</v>
      </c>
    </row>
    <row r="306" spans="1:9" x14ac:dyDescent="0.25">
      <c r="A306" s="182">
        <v>46092</v>
      </c>
      <c r="B306" s="183"/>
      <c r="C306" s="183"/>
      <c r="D306" s="183"/>
      <c r="E306" s="183"/>
      <c r="F306" s="183"/>
      <c r="G306" s="183"/>
      <c r="H306" s="183"/>
      <c r="I306" s="184"/>
    </row>
    <row r="307" spans="1:9" x14ac:dyDescent="0.25">
      <c r="A307" s="15">
        <v>4</v>
      </c>
      <c r="B307" s="46">
        <v>7.4999999999999997E-2</v>
      </c>
      <c r="C307" s="38">
        <v>1012</v>
      </c>
      <c r="D307" s="38" t="s">
        <v>10</v>
      </c>
      <c r="E307" s="38" t="s">
        <v>104</v>
      </c>
      <c r="F307" s="38" t="s">
        <v>24</v>
      </c>
      <c r="G307" s="5">
        <v>1</v>
      </c>
      <c r="H307" s="5" t="s">
        <v>7</v>
      </c>
      <c r="I307" s="156" t="s">
        <v>243</v>
      </c>
    </row>
    <row r="308" spans="1:9" x14ac:dyDescent="0.25">
      <c r="A308" s="15">
        <v>5</v>
      </c>
      <c r="B308" s="46">
        <v>0.16944444444444443</v>
      </c>
      <c r="C308" s="38">
        <v>1020</v>
      </c>
      <c r="D308" s="38" t="s">
        <v>10</v>
      </c>
      <c r="E308" s="38" t="s">
        <v>11</v>
      </c>
      <c r="F308" s="38" t="s">
        <v>24</v>
      </c>
      <c r="G308" s="5">
        <v>1</v>
      </c>
      <c r="H308" s="5" t="s">
        <v>7</v>
      </c>
      <c r="I308" s="156" t="s">
        <v>243</v>
      </c>
    </row>
    <row r="309" spans="1:9" x14ac:dyDescent="0.25">
      <c r="A309" s="15">
        <v>6</v>
      </c>
      <c r="B309" s="46">
        <v>0.22430555555555556</v>
      </c>
      <c r="C309" s="38">
        <v>943</v>
      </c>
      <c r="D309" s="38" t="s">
        <v>10</v>
      </c>
      <c r="E309" s="38" t="s">
        <v>220</v>
      </c>
      <c r="F309" s="38" t="s">
        <v>166</v>
      </c>
      <c r="G309" s="5">
        <v>1</v>
      </c>
      <c r="H309" s="5" t="s">
        <v>7</v>
      </c>
      <c r="I309" s="156" t="s">
        <v>243</v>
      </c>
    </row>
    <row r="310" spans="1:9" x14ac:dyDescent="0.25">
      <c r="A310" s="15">
        <v>7</v>
      </c>
      <c r="B310" s="46">
        <v>0.22847222222222222</v>
      </c>
      <c r="C310" s="38">
        <v>1012</v>
      </c>
      <c r="D310" s="38" t="s">
        <v>10</v>
      </c>
      <c r="E310" s="38" t="s">
        <v>104</v>
      </c>
      <c r="F310" s="38" t="s">
        <v>24</v>
      </c>
      <c r="G310" s="5">
        <v>2</v>
      </c>
      <c r="H310" s="5" t="s">
        <v>7</v>
      </c>
      <c r="I310" s="156" t="s">
        <v>243</v>
      </c>
    </row>
    <row r="311" spans="1:9" x14ac:dyDescent="0.25">
      <c r="A311" s="15">
        <v>8</v>
      </c>
      <c r="B311" s="46">
        <v>0.40277777777777773</v>
      </c>
      <c r="C311" s="38">
        <v>1014</v>
      </c>
      <c r="D311" s="38" t="s">
        <v>10</v>
      </c>
      <c r="E311" s="38" t="s">
        <v>43</v>
      </c>
      <c r="F311" s="38" t="s">
        <v>238</v>
      </c>
      <c r="G311" s="5">
        <v>3</v>
      </c>
      <c r="H311" s="5" t="s">
        <v>7</v>
      </c>
      <c r="I311" s="156" t="s">
        <v>243</v>
      </c>
    </row>
    <row r="312" spans="1:9" x14ac:dyDescent="0.25">
      <c r="A312" s="15">
        <v>9</v>
      </c>
      <c r="B312" s="46">
        <v>0.4201388888888889</v>
      </c>
      <c r="C312" s="38">
        <v>1008</v>
      </c>
      <c r="D312" s="38" t="s">
        <v>10</v>
      </c>
      <c r="E312" s="38" t="s">
        <v>130</v>
      </c>
      <c r="F312" s="38" t="s">
        <v>24</v>
      </c>
      <c r="G312" s="5">
        <v>5</v>
      </c>
      <c r="H312" s="5" t="s">
        <v>7</v>
      </c>
      <c r="I312" s="156" t="s">
        <v>243</v>
      </c>
    </row>
    <row r="313" spans="1:9" x14ac:dyDescent="0.25">
      <c r="A313" s="15">
        <v>10</v>
      </c>
      <c r="B313" s="46">
        <v>0.43611111111111112</v>
      </c>
      <c r="C313" s="38">
        <v>1012</v>
      </c>
      <c r="D313" s="38" t="s">
        <v>10</v>
      </c>
      <c r="E313" s="38" t="s">
        <v>140</v>
      </c>
      <c r="F313" s="38" t="s">
        <v>24</v>
      </c>
      <c r="G313" s="5">
        <v>3</v>
      </c>
      <c r="H313" s="5" t="s">
        <v>7</v>
      </c>
      <c r="I313" s="156" t="s">
        <v>243</v>
      </c>
    </row>
    <row r="314" spans="1:9" x14ac:dyDescent="0.25">
      <c r="A314" s="15">
        <v>11</v>
      </c>
      <c r="B314" s="46">
        <v>0.47083333333333338</v>
      </c>
      <c r="C314" s="38">
        <v>1015</v>
      </c>
      <c r="D314" s="38" t="s">
        <v>10</v>
      </c>
      <c r="E314" s="38" t="s">
        <v>43</v>
      </c>
      <c r="F314" s="38" t="s">
        <v>238</v>
      </c>
      <c r="G314" s="5">
        <v>2</v>
      </c>
      <c r="H314" s="5" t="s">
        <v>7</v>
      </c>
      <c r="I314" s="156" t="s">
        <v>243</v>
      </c>
    </row>
    <row r="315" spans="1:9" x14ac:dyDescent="0.25">
      <c r="A315" s="22">
        <v>12</v>
      </c>
      <c r="B315" s="56">
        <v>0.58124999999999993</v>
      </c>
      <c r="C315" s="43"/>
      <c r="D315" s="43" t="s">
        <v>97</v>
      </c>
      <c r="E315" s="43" t="s">
        <v>248</v>
      </c>
      <c r="F315" s="43" t="s">
        <v>90</v>
      </c>
      <c r="G315" s="23" t="s">
        <v>249</v>
      </c>
      <c r="H315" s="23" t="s">
        <v>8</v>
      </c>
      <c r="I315" s="161" t="s">
        <v>243</v>
      </c>
    </row>
    <row r="316" spans="1:9" ht="19.5" thickBot="1" x14ac:dyDescent="0.3">
      <c r="A316" s="173" t="s">
        <v>250</v>
      </c>
      <c r="B316" s="174"/>
      <c r="C316" s="174"/>
      <c r="D316" s="174"/>
      <c r="E316" s="174"/>
      <c r="F316" s="174"/>
      <c r="G316" s="174"/>
      <c r="H316" s="174"/>
      <c r="I316" s="175"/>
    </row>
    <row r="317" spans="1:9" ht="19.5" thickBot="1" x14ac:dyDescent="0.3"/>
    <row r="318" spans="1:9" x14ac:dyDescent="0.25">
      <c r="A318" s="14">
        <v>1</v>
      </c>
      <c r="B318" s="45">
        <v>0.99305555555555547</v>
      </c>
      <c r="C318" s="37">
        <v>1008</v>
      </c>
      <c r="D318" s="37" t="s">
        <v>10</v>
      </c>
      <c r="E318" s="37" t="s">
        <v>130</v>
      </c>
      <c r="F318" s="37" t="s">
        <v>24</v>
      </c>
      <c r="G318" s="151">
        <v>2</v>
      </c>
      <c r="H318" s="151" t="s">
        <v>7</v>
      </c>
      <c r="I318" s="155" t="s">
        <v>243</v>
      </c>
    </row>
    <row r="319" spans="1:9" x14ac:dyDescent="0.25">
      <c r="A319" s="182">
        <v>46093</v>
      </c>
      <c r="B319" s="183"/>
      <c r="C319" s="183"/>
      <c r="D319" s="183"/>
      <c r="E319" s="183"/>
      <c r="F319" s="183"/>
      <c r="G319" s="183"/>
      <c r="H319" s="183"/>
      <c r="I319" s="184"/>
    </row>
    <row r="320" spans="1:9" x14ac:dyDescent="0.25">
      <c r="A320" s="15">
        <v>2</v>
      </c>
      <c r="B320" s="46">
        <v>3.8194444444444441E-2</v>
      </c>
      <c r="C320" s="38">
        <v>1226</v>
      </c>
      <c r="D320" s="38" t="s">
        <v>10</v>
      </c>
      <c r="E320" s="38" t="s">
        <v>18</v>
      </c>
      <c r="F320" s="38" t="s">
        <v>166</v>
      </c>
      <c r="G320" s="5">
        <v>1</v>
      </c>
      <c r="H320" s="5" t="s">
        <v>7</v>
      </c>
      <c r="I320" s="156" t="s">
        <v>243</v>
      </c>
    </row>
    <row r="321" spans="1:9" x14ac:dyDescent="0.25">
      <c r="A321" s="15">
        <v>3</v>
      </c>
      <c r="B321" s="46">
        <v>0.11527777777777777</v>
      </c>
      <c r="C321" s="38">
        <v>1012</v>
      </c>
      <c r="D321" s="38" t="s">
        <v>10</v>
      </c>
      <c r="E321" s="38" t="s">
        <v>104</v>
      </c>
      <c r="F321" s="38" t="s">
        <v>24</v>
      </c>
      <c r="G321" s="5">
        <v>2</v>
      </c>
      <c r="H321" s="5" t="s">
        <v>7</v>
      </c>
      <c r="I321" s="156" t="s">
        <v>243</v>
      </c>
    </row>
    <row r="322" spans="1:9" x14ac:dyDescent="0.25">
      <c r="A322" s="15">
        <v>4</v>
      </c>
      <c r="B322" s="46">
        <v>0.12291666666666667</v>
      </c>
      <c r="C322" s="38">
        <v>1248</v>
      </c>
      <c r="D322" s="38" t="s">
        <v>10</v>
      </c>
      <c r="E322" s="38" t="s">
        <v>30</v>
      </c>
      <c r="F322" s="38" t="s">
        <v>166</v>
      </c>
      <c r="G322" s="5">
        <v>1</v>
      </c>
      <c r="H322" s="5" t="s">
        <v>7</v>
      </c>
      <c r="I322" s="156" t="s">
        <v>243</v>
      </c>
    </row>
    <row r="323" spans="1:9" x14ac:dyDescent="0.25">
      <c r="A323" s="15">
        <v>5</v>
      </c>
      <c r="B323" s="46">
        <v>0.18055555555555555</v>
      </c>
      <c r="C323" s="38">
        <v>1008</v>
      </c>
      <c r="D323" s="38" t="s">
        <v>10</v>
      </c>
      <c r="E323" s="38" t="s">
        <v>130</v>
      </c>
      <c r="F323" s="38" t="s">
        <v>24</v>
      </c>
      <c r="G323" s="5">
        <v>2</v>
      </c>
      <c r="H323" s="5" t="s">
        <v>7</v>
      </c>
      <c r="I323" s="156" t="s">
        <v>243</v>
      </c>
    </row>
    <row r="324" spans="1:9" x14ac:dyDescent="0.25">
      <c r="A324" s="15">
        <v>6</v>
      </c>
      <c r="B324" s="46">
        <v>0.18888888888888888</v>
      </c>
      <c r="C324" s="38">
        <v>1001</v>
      </c>
      <c r="D324" s="38" t="s">
        <v>10</v>
      </c>
      <c r="E324" s="38" t="s">
        <v>38</v>
      </c>
      <c r="F324" s="38" t="s">
        <v>166</v>
      </c>
      <c r="G324" s="5">
        <v>1</v>
      </c>
      <c r="H324" s="5" t="s">
        <v>7</v>
      </c>
      <c r="I324" s="156" t="s">
        <v>243</v>
      </c>
    </row>
    <row r="325" spans="1:9" x14ac:dyDescent="0.25">
      <c r="A325" s="15">
        <v>7</v>
      </c>
      <c r="B325" s="46">
        <v>0.23680555555555557</v>
      </c>
      <c r="C325" s="38">
        <v>1199</v>
      </c>
      <c r="D325" s="38" t="s">
        <v>10</v>
      </c>
      <c r="E325" s="38" t="s">
        <v>217</v>
      </c>
      <c r="F325" s="38" t="s">
        <v>166</v>
      </c>
      <c r="G325" s="5">
        <v>1</v>
      </c>
      <c r="H325" s="5" t="s">
        <v>7</v>
      </c>
      <c r="I325" s="156" t="s">
        <v>243</v>
      </c>
    </row>
    <row r="326" spans="1:9" x14ac:dyDescent="0.25">
      <c r="A326" s="15">
        <v>8</v>
      </c>
      <c r="B326" s="46">
        <v>0.31597222222222221</v>
      </c>
      <c r="C326" s="38">
        <v>1019</v>
      </c>
      <c r="D326" s="38" t="s">
        <v>10</v>
      </c>
      <c r="E326" s="38" t="s">
        <v>11</v>
      </c>
      <c r="F326" s="38" t="s">
        <v>238</v>
      </c>
      <c r="G326" s="5">
        <v>3</v>
      </c>
      <c r="H326" s="5" t="s">
        <v>7</v>
      </c>
      <c r="I326" s="156" t="s">
        <v>243</v>
      </c>
    </row>
    <row r="327" spans="1:9" x14ac:dyDescent="0.25">
      <c r="A327" s="15">
        <v>9</v>
      </c>
      <c r="B327" s="46">
        <v>0.37847222222222227</v>
      </c>
      <c r="C327" s="38">
        <v>1146</v>
      </c>
      <c r="D327" s="38" t="s">
        <v>10</v>
      </c>
      <c r="E327" s="38" t="s">
        <v>117</v>
      </c>
      <c r="F327" s="38" t="s">
        <v>238</v>
      </c>
      <c r="G327" s="5">
        <v>6</v>
      </c>
      <c r="H327" s="5" t="s">
        <v>7</v>
      </c>
      <c r="I327" s="156" t="s">
        <v>243</v>
      </c>
    </row>
    <row r="328" spans="1:9" x14ac:dyDescent="0.25">
      <c r="A328" s="22">
        <v>10</v>
      </c>
      <c r="B328" s="56">
        <v>0.44930555555555557</v>
      </c>
      <c r="C328" s="43"/>
      <c r="D328" s="43" t="s">
        <v>252</v>
      </c>
      <c r="E328" s="43" t="s">
        <v>253</v>
      </c>
      <c r="F328" s="43" t="s">
        <v>153</v>
      </c>
      <c r="G328" s="23" t="s">
        <v>154</v>
      </c>
      <c r="H328" s="23" t="s">
        <v>8</v>
      </c>
      <c r="I328" s="161" t="s">
        <v>243</v>
      </c>
    </row>
    <row r="329" spans="1:9" x14ac:dyDescent="0.25">
      <c r="A329" s="15">
        <v>11</v>
      </c>
      <c r="B329" s="46">
        <v>0.56944444444444442</v>
      </c>
      <c r="C329" s="38">
        <v>1025</v>
      </c>
      <c r="D329" s="38" t="s">
        <v>10</v>
      </c>
      <c r="E329" s="38" t="s">
        <v>43</v>
      </c>
      <c r="F329" s="38" t="s">
        <v>12</v>
      </c>
      <c r="G329" s="5">
        <v>2</v>
      </c>
      <c r="H329" s="5" t="s">
        <v>7</v>
      </c>
      <c r="I329" s="156" t="s">
        <v>243</v>
      </c>
    </row>
    <row r="330" spans="1:9" ht="19.5" thickBot="1" x14ac:dyDescent="0.3">
      <c r="A330" s="173" t="s">
        <v>254</v>
      </c>
      <c r="B330" s="174"/>
      <c r="C330" s="174"/>
      <c r="D330" s="174"/>
      <c r="E330" s="174"/>
      <c r="F330" s="174"/>
      <c r="G330" s="174"/>
      <c r="H330" s="174"/>
      <c r="I330" s="175"/>
    </row>
    <row r="331" spans="1:9" ht="19.5" thickBot="1" x14ac:dyDescent="0.3"/>
    <row r="332" spans="1:9" x14ac:dyDescent="0.25">
      <c r="A332" s="14">
        <v>1</v>
      </c>
      <c r="B332" s="45">
        <v>0.71319444444444446</v>
      </c>
      <c r="C332" s="37">
        <v>1475</v>
      </c>
      <c r="D332" s="37" t="s">
        <v>10</v>
      </c>
      <c r="E332" s="37" t="s">
        <v>216</v>
      </c>
      <c r="F332" s="37" t="s">
        <v>146</v>
      </c>
      <c r="G332" s="151">
        <v>2</v>
      </c>
      <c r="H332" s="151" t="s">
        <v>7</v>
      </c>
      <c r="I332" s="155" t="s">
        <v>243</v>
      </c>
    </row>
    <row r="333" spans="1:9" x14ac:dyDescent="0.25">
      <c r="A333" s="15">
        <v>2</v>
      </c>
      <c r="B333" s="46">
        <v>0.71527777777777779</v>
      </c>
      <c r="C333" s="38">
        <v>1015</v>
      </c>
      <c r="D333" s="38" t="s">
        <v>10</v>
      </c>
      <c r="E333" s="38" t="s">
        <v>43</v>
      </c>
      <c r="F333" s="38" t="s">
        <v>166</v>
      </c>
      <c r="G333" s="5">
        <v>2</v>
      </c>
      <c r="H333" s="5" t="s">
        <v>7</v>
      </c>
      <c r="I333" s="156" t="s">
        <v>243</v>
      </c>
    </row>
    <row r="334" spans="1:9" x14ac:dyDescent="0.25">
      <c r="A334" s="15">
        <v>3</v>
      </c>
      <c r="B334" s="46">
        <v>0.72569444444444453</v>
      </c>
      <c r="C334" s="38">
        <v>433</v>
      </c>
      <c r="D334" s="38" t="s">
        <v>10</v>
      </c>
      <c r="E334" s="38" t="s">
        <v>255</v>
      </c>
      <c r="F334" s="38" t="s">
        <v>90</v>
      </c>
      <c r="G334" s="5">
        <v>7</v>
      </c>
      <c r="H334" s="5" t="s">
        <v>7</v>
      </c>
      <c r="I334" s="156" t="s">
        <v>243</v>
      </c>
    </row>
    <row r="335" spans="1:9" x14ac:dyDescent="0.25">
      <c r="A335" s="19">
        <v>4</v>
      </c>
      <c r="B335" s="53">
        <v>0.9770833333333333</v>
      </c>
      <c r="C335" s="41" t="s">
        <v>256</v>
      </c>
      <c r="D335" s="41" t="s">
        <v>97</v>
      </c>
      <c r="E335" s="41" t="s">
        <v>257</v>
      </c>
      <c r="F335" s="41" t="s">
        <v>128</v>
      </c>
      <c r="G335" s="7" t="s">
        <v>260</v>
      </c>
      <c r="H335" s="7" t="s">
        <v>7</v>
      </c>
      <c r="I335" s="159" t="s">
        <v>258</v>
      </c>
    </row>
    <row r="336" spans="1:9" x14ac:dyDescent="0.25">
      <c r="A336" s="19">
        <v>5</v>
      </c>
      <c r="B336" s="53">
        <v>0.9770833333333333</v>
      </c>
      <c r="C336" s="41" t="s">
        <v>256</v>
      </c>
      <c r="D336" s="41" t="s">
        <v>97</v>
      </c>
      <c r="E336" s="41" t="s">
        <v>257</v>
      </c>
      <c r="F336" s="41" t="s">
        <v>90</v>
      </c>
      <c r="G336" s="7" t="s">
        <v>261</v>
      </c>
      <c r="H336" s="7" t="s">
        <v>7</v>
      </c>
      <c r="I336" s="159" t="s">
        <v>258</v>
      </c>
    </row>
    <row r="337" spans="1:9" x14ac:dyDescent="0.25">
      <c r="A337" s="182">
        <v>46094</v>
      </c>
      <c r="B337" s="183"/>
      <c r="C337" s="183"/>
      <c r="D337" s="183"/>
      <c r="E337" s="183"/>
      <c r="F337" s="183"/>
      <c r="G337" s="183"/>
      <c r="H337" s="183"/>
      <c r="I337" s="184"/>
    </row>
    <row r="338" spans="1:9" x14ac:dyDescent="0.25">
      <c r="A338" s="15">
        <v>6</v>
      </c>
      <c r="B338" s="46">
        <v>1.3888888888888889E-3</v>
      </c>
      <c r="C338" s="38">
        <v>1002</v>
      </c>
      <c r="D338" s="38" t="s">
        <v>10</v>
      </c>
      <c r="E338" s="38" t="s">
        <v>38</v>
      </c>
      <c r="F338" s="38" t="s">
        <v>166</v>
      </c>
      <c r="G338" s="5">
        <v>1</v>
      </c>
      <c r="H338" s="5" t="s">
        <v>7</v>
      </c>
      <c r="I338" s="156" t="s">
        <v>243</v>
      </c>
    </row>
    <row r="339" spans="1:9" x14ac:dyDescent="0.25">
      <c r="A339" s="15">
        <v>7</v>
      </c>
      <c r="B339" s="46">
        <v>2.7777777777777779E-3</v>
      </c>
      <c r="C339" s="38">
        <v>1019</v>
      </c>
      <c r="D339" s="38" t="s">
        <v>10</v>
      </c>
      <c r="E339" s="38" t="s">
        <v>11</v>
      </c>
      <c r="F339" s="38" t="s">
        <v>24</v>
      </c>
      <c r="G339" s="5">
        <v>2</v>
      </c>
      <c r="H339" s="5" t="s">
        <v>7</v>
      </c>
      <c r="I339" s="156" t="s">
        <v>243</v>
      </c>
    </row>
    <row r="340" spans="1:9" x14ac:dyDescent="0.25">
      <c r="A340" s="22">
        <v>8</v>
      </c>
      <c r="B340" s="56">
        <v>3.472222222222222E-3</v>
      </c>
      <c r="C340" s="43" t="s">
        <v>259</v>
      </c>
      <c r="D340" s="43" t="s">
        <v>262</v>
      </c>
      <c r="E340" s="43" t="s">
        <v>38</v>
      </c>
      <c r="F340" s="43" t="s">
        <v>90</v>
      </c>
      <c r="G340" s="23">
        <v>7</v>
      </c>
      <c r="H340" s="23" t="s">
        <v>8</v>
      </c>
      <c r="I340" s="161" t="s">
        <v>243</v>
      </c>
    </row>
    <row r="341" spans="1:9" x14ac:dyDescent="0.25">
      <c r="A341" s="15">
        <v>9</v>
      </c>
      <c r="B341" s="46">
        <v>0.1125</v>
      </c>
      <c r="C341" s="38">
        <v>1012</v>
      </c>
      <c r="D341" s="38" t="s">
        <v>10</v>
      </c>
      <c r="E341" s="38" t="s">
        <v>104</v>
      </c>
      <c r="F341" s="38" t="s">
        <v>24</v>
      </c>
      <c r="G341" s="5">
        <v>3</v>
      </c>
      <c r="H341" s="5" t="s">
        <v>7</v>
      </c>
      <c r="I341" s="156" t="s">
        <v>243</v>
      </c>
    </row>
    <row r="342" spans="1:9" x14ac:dyDescent="0.25">
      <c r="A342" s="15">
        <v>10</v>
      </c>
      <c r="B342" s="46">
        <v>0.15277777777777776</v>
      </c>
      <c r="C342" s="38">
        <v>992</v>
      </c>
      <c r="D342" s="38" t="s">
        <v>10</v>
      </c>
      <c r="E342" s="38" t="s">
        <v>38</v>
      </c>
      <c r="F342" s="38" t="s">
        <v>166</v>
      </c>
      <c r="G342" s="5">
        <v>1</v>
      </c>
      <c r="H342" s="5" t="s">
        <v>7</v>
      </c>
      <c r="I342" s="156" t="s">
        <v>243</v>
      </c>
    </row>
    <row r="343" spans="1:9" x14ac:dyDescent="0.25">
      <c r="A343" s="15">
        <v>11</v>
      </c>
      <c r="B343" s="46">
        <v>0.20208333333333331</v>
      </c>
      <c r="C343" s="38">
        <v>1002</v>
      </c>
      <c r="D343" s="38" t="s">
        <v>10</v>
      </c>
      <c r="E343" s="38" t="s">
        <v>38</v>
      </c>
      <c r="F343" s="38" t="s">
        <v>166</v>
      </c>
      <c r="G343" s="5">
        <v>1</v>
      </c>
      <c r="H343" s="5" t="s">
        <v>7</v>
      </c>
      <c r="I343" s="156" t="s">
        <v>243</v>
      </c>
    </row>
    <row r="344" spans="1:9" x14ac:dyDescent="0.25">
      <c r="A344" s="15">
        <v>12</v>
      </c>
      <c r="B344" s="46">
        <v>0.21666666666666667</v>
      </c>
      <c r="C344" s="38">
        <v>1019</v>
      </c>
      <c r="D344" s="38" t="s">
        <v>10</v>
      </c>
      <c r="E344" s="38" t="s">
        <v>11</v>
      </c>
      <c r="F344" s="38" t="s">
        <v>24</v>
      </c>
      <c r="G344" s="5">
        <v>2</v>
      </c>
      <c r="H344" s="5" t="s">
        <v>7</v>
      </c>
      <c r="I344" s="156" t="s">
        <v>243</v>
      </c>
    </row>
    <row r="345" spans="1:9" x14ac:dyDescent="0.25">
      <c r="A345" s="15">
        <v>13</v>
      </c>
      <c r="B345" s="46">
        <v>0.24305555555555555</v>
      </c>
      <c r="C345" s="38">
        <v>992</v>
      </c>
      <c r="D345" s="38" t="s">
        <v>10</v>
      </c>
      <c r="E345" s="38" t="s">
        <v>38</v>
      </c>
      <c r="F345" s="38" t="s">
        <v>166</v>
      </c>
      <c r="G345" s="5">
        <v>1</v>
      </c>
      <c r="H345" s="5" t="s">
        <v>7</v>
      </c>
      <c r="I345" s="156" t="s">
        <v>243</v>
      </c>
    </row>
    <row r="346" spans="1:9" x14ac:dyDescent="0.25">
      <c r="A346" s="15">
        <v>14</v>
      </c>
      <c r="B346" s="46">
        <v>0.36805555555555558</v>
      </c>
      <c r="C346" s="38">
        <v>1013</v>
      </c>
      <c r="D346" s="38" t="s">
        <v>10</v>
      </c>
      <c r="E346" s="38" t="s">
        <v>104</v>
      </c>
      <c r="F346" s="38" t="s">
        <v>238</v>
      </c>
      <c r="G346" s="5">
        <v>4</v>
      </c>
      <c r="H346" s="5" t="s">
        <v>7</v>
      </c>
      <c r="I346" s="156" t="s">
        <v>243</v>
      </c>
    </row>
    <row r="347" spans="1:9" x14ac:dyDescent="0.25">
      <c r="A347" s="15">
        <v>15</v>
      </c>
      <c r="B347" s="46">
        <v>0.40277777777777773</v>
      </c>
      <c r="C347" s="38">
        <v>1025</v>
      </c>
      <c r="D347" s="38" t="s">
        <v>10</v>
      </c>
      <c r="E347" s="38" t="s">
        <v>188</v>
      </c>
      <c r="F347" s="38" t="s">
        <v>12</v>
      </c>
      <c r="G347" s="5">
        <v>3</v>
      </c>
      <c r="H347" s="5" t="s">
        <v>7</v>
      </c>
      <c r="I347" s="156" t="s">
        <v>243</v>
      </c>
    </row>
    <row r="348" spans="1:9" x14ac:dyDescent="0.25">
      <c r="A348" s="15">
        <v>16</v>
      </c>
      <c r="B348" s="46">
        <v>0.49305555555555558</v>
      </c>
      <c r="C348" s="38">
        <v>1514</v>
      </c>
      <c r="D348" s="38" t="s">
        <v>97</v>
      </c>
      <c r="E348" s="38" t="s">
        <v>263</v>
      </c>
      <c r="F348" s="38" t="s">
        <v>90</v>
      </c>
      <c r="G348" s="5">
        <v>8</v>
      </c>
      <c r="H348" s="5" t="s">
        <v>7</v>
      </c>
      <c r="I348" s="156" t="s">
        <v>243</v>
      </c>
    </row>
    <row r="349" spans="1:9" x14ac:dyDescent="0.25">
      <c r="A349" s="15">
        <v>17</v>
      </c>
      <c r="B349" s="46">
        <v>0.49652777777777773</v>
      </c>
      <c r="C349" s="38" t="s">
        <v>264</v>
      </c>
      <c r="D349" s="38" t="s">
        <v>97</v>
      </c>
      <c r="E349" s="38" t="s">
        <v>265</v>
      </c>
      <c r="F349" s="38" t="s">
        <v>90</v>
      </c>
      <c r="G349" s="5">
        <v>6</v>
      </c>
      <c r="H349" s="5" t="s">
        <v>7</v>
      </c>
      <c r="I349" s="156" t="s">
        <v>243</v>
      </c>
    </row>
    <row r="350" spans="1:9" x14ac:dyDescent="0.25">
      <c r="A350" s="22">
        <v>18</v>
      </c>
      <c r="B350" s="56">
        <v>0.51180555555555551</v>
      </c>
      <c r="C350" s="43" t="s">
        <v>266</v>
      </c>
      <c r="D350" s="43" t="s">
        <v>267</v>
      </c>
      <c r="E350" s="43" t="s">
        <v>89</v>
      </c>
      <c r="F350" s="43" t="s">
        <v>91</v>
      </c>
      <c r="G350" s="23" t="s">
        <v>268</v>
      </c>
      <c r="H350" s="23" t="s">
        <v>8</v>
      </c>
      <c r="I350" s="161" t="s">
        <v>243</v>
      </c>
    </row>
    <row r="351" spans="1:9" x14ac:dyDescent="0.25">
      <c r="A351" s="15">
        <v>19</v>
      </c>
      <c r="B351" s="46">
        <v>0.62847222222222221</v>
      </c>
      <c r="C351" s="38">
        <v>1025</v>
      </c>
      <c r="D351" s="38" t="s">
        <v>10</v>
      </c>
      <c r="E351" s="38" t="s">
        <v>188</v>
      </c>
      <c r="F351" s="38" t="s">
        <v>12</v>
      </c>
      <c r="G351" s="5">
        <v>6</v>
      </c>
      <c r="H351" s="5" t="s">
        <v>7</v>
      </c>
      <c r="I351" s="156" t="s">
        <v>243</v>
      </c>
    </row>
    <row r="352" spans="1:9" ht="19.5" thickBot="1" x14ac:dyDescent="0.3">
      <c r="A352" s="173" t="s">
        <v>269</v>
      </c>
      <c r="B352" s="174"/>
      <c r="C352" s="174"/>
      <c r="D352" s="174"/>
      <c r="E352" s="174"/>
      <c r="F352" s="174"/>
      <c r="G352" s="174"/>
      <c r="H352" s="174"/>
      <c r="I352" s="175"/>
    </row>
    <row r="353" spans="1:9" ht="19.5" thickBot="1" x14ac:dyDescent="0.3"/>
    <row r="354" spans="1:9" x14ac:dyDescent="0.25">
      <c r="A354" s="87">
        <v>1</v>
      </c>
      <c r="B354" s="88">
        <v>0.91666666666666663</v>
      </c>
      <c r="C354" s="89" t="s">
        <v>270</v>
      </c>
      <c r="D354" s="89" t="s">
        <v>97</v>
      </c>
      <c r="E354" s="89" t="s">
        <v>38</v>
      </c>
      <c r="F354" s="89" t="s">
        <v>103</v>
      </c>
      <c r="G354" s="90">
        <v>6</v>
      </c>
      <c r="H354" s="90" t="s">
        <v>8</v>
      </c>
      <c r="I354" s="168" t="s">
        <v>243</v>
      </c>
    </row>
    <row r="355" spans="1:9" x14ac:dyDescent="0.25">
      <c r="A355" s="15">
        <v>2</v>
      </c>
      <c r="B355" s="46">
        <v>0.99444444444444446</v>
      </c>
      <c r="C355" s="38">
        <v>1008</v>
      </c>
      <c r="D355" s="38" t="s">
        <v>10</v>
      </c>
      <c r="E355" s="38" t="s">
        <v>130</v>
      </c>
      <c r="F355" s="38" t="s">
        <v>24</v>
      </c>
      <c r="G355" s="5">
        <v>3</v>
      </c>
      <c r="H355" s="5" t="s">
        <v>7</v>
      </c>
      <c r="I355" s="156" t="s">
        <v>243</v>
      </c>
    </row>
    <row r="356" spans="1:9" x14ac:dyDescent="0.25">
      <c r="A356" s="182">
        <v>46095</v>
      </c>
      <c r="B356" s="183"/>
      <c r="C356" s="183"/>
      <c r="D356" s="183"/>
      <c r="E356" s="183"/>
      <c r="F356" s="183"/>
      <c r="G356" s="183"/>
      <c r="H356" s="183"/>
      <c r="I356" s="184"/>
    </row>
    <row r="357" spans="1:9" x14ac:dyDescent="0.25">
      <c r="A357" s="15">
        <v>3</v>
      </c>
      <c r="B357" s="46">
        <v>0.10208333333333335</v>
      </c>
      <c r="C357" s="38">
        <v>1012</v>
      </c>
      <c r="D357" s="38" t="s">
        <v>10</v>
      </c>
      <c r="E357" s="38" t="s">
        <v>104</v>
      </c>
      <c r="F357" s="38" t="s">
        <v>24</v>
      </c>
      <c r="G357" s="5">
        <v>2</v>
      </c>
      <c r="H357" s="5" t="s">
        <v>7</v>
      </c>
      <c r="I357" s="156" t="s">
        <v>243</v>
      </c>
    </row>
    <row r="358" spans="1:9" x14ac:dyDescent="0.25">
      <c r="A358" s="15">
        <v>4</v>
      </c>
      <c r="B358" s="46">
        <v>0.17569444444444446</v>
      </c>
      <c r="C358" s="38">
        <v>1008</v>
      </c>
      <c r="D358" s="38" t="s">
        <v>10</v>
      </c>
      <c r="E358" s="38" t="s">
        <v>130</v>
      </c>
      <c r="F358" s="38" t="s">
        <v>24</v>
      </c>
      <c r="G358" s="5">
        <v>2</v>
      </c>
      <c r="H358" s="5" t="s">
        <v>7</v>
      </c>
      <c r="I358" s="156" t="s">
        <v>243</v>
      </c>
    </row>
    <row r="359" spans="1:9" x14ac:dyDescent="0.25">
      <c r="A359" s="22">
        <v>5</v>
      </c>
      <c r="B359" s="56">
        <v>0.1986111111111111</v>
      </c>
      <c r="C359" s="43">
        <v>1188</v>
      </c>
      <c r="D359" s="43" t="s">
        <v>183</v>
      </c>
      <c r="E359" s="43" t="s">
        <v>271</v>
      </c>
      <c r="F359" s="43" t="s">
        <v>103</v>
      </c>
      <c r="G359" s="23" t="s">
        <v>272</v>
      </c>
      <c r="H359" s="23" t="s">
        <v>8</v>
      </c>
      <c r="I359" s="157" t="s">
        <v>273</v>
      </c>
    </row>
    <row r="360" spans="1:9" x14ac:dyDescent="0.25">
      <c r="A360" s="15">
        <v>6</v>
      </c>
      <c r="B360" s="46">
        <v>0.35416666666666669</v>
      </c>
      <c r="C360" s="38">
        <v>1509</v>
      </c>
      <c r="D360" s="38" t="s">
        <v>97</v>
      </c>
      <c r="E360" s="38" t="s">
        <v>274</v>
      </c>
      <c r="F360" s="38" t="s">
        <v>90</v>
      </c>
      <c r="G360" s="5">
        <v>6</v>
      </c>
      <c r="H360" s="5" t="s">
        <v>7</v>
      </c>
      <c r="I360" s="156" t="s">
        <v>243</v>
      </c>
    </row>
    <row r="361" spans="1:9" x14ac:dyDescent="0.25">
      <c r="A361" s="15">
        <v>7</v>
      </c>
      <c r="B361" s="46">
        <v>0.3576388888888889</v>
      </c>
      <c r="C361" s="38">
        <v>1218</v>
      </c>
      <c r="D361" s="38" t="s">
        <v>97</v>
      </c>
      <c r="E361" s="38" t="s">
        <v>22</v>
      </c>
      <c r="F361" s="38" t="s">
        <v>90</v>
      </c>
      <c r="G361" s="5">
        <v>6</v>
      </c>
      <c r="H361" s="5" t="s">
        <v>7</v>
      </c>
      <c r="I361" s="156" t="s">
        <v>243</v>
      </c>
    </row>
    <row r="362" spans="1:9" x14ac:dyDescent="0.25">
      <c r="A362" s="15">
        <v>8</v>
      </c>
      <c r="B362" s="46">
        <v>0.40208333333333335</v>
      </c>
      <c r="C362" s="38">
        <v>1004</v>
      </c>
      <c r="D362" s="38" t="s">
        <v>97</v>
      </c>
      <c r="E362" s="38" t="s">
        <v>104</v>
      </c>
      <c r="F362" s="38" t="s">
        <v>12</v>
      </c>
      <c r="G362" s="5">
        <v>3</v>
      </c>
      <c r="H362" s="5" t="s">
        <v>7</v>
      </c>
      <c r="I362" s="156" t="s">
        <v>243</v>
      </c>
    </row>
    <row r="363" spans="1:9" x14ac:dyDescent="0.25">
      <c r="A363" s="15">
        <v>9</v>
      </c>
      <c r="B363" s="46">
        <v>0.44444444444444442</v>
      </c>
      <c r="C363" s="38">
        <v>1000</v>
      </c>
      <c r="D363" s="38" t="s">
        <v>97</v>
      </c>
      <c r="E363" s="38" t="s">
        <v>187</v>
      </c>
      <c r="F363" s="38" t="s">
        <v>275</v>
      </c>
      <c r="G363" s="5">
        <v>6</v>
      </c>
      <c r="H363" s="5" t="s">
        <v>7</v>
      </c>
      <c r="I363" s="156" t="s">
        <v>243</v>
      </c>
    </row>
    <row r="364" spans="1:9" x14ac:dyDescent="0.25">
      <c r="A364" s="22">
        <v>10</v>
      </c>
      <c r="B364" s="56">
        <v>0.65555555555555556</v>
      </c>
      <c r="C364" s="43">
        <v>1465</v>
      </c>
      <c r="D364" s="43" t="s">
        <v>97</v>
      </c>
      <c r="E364" s="43" t="s">
        <v>244</v>
      </c>
      <c r="F364" s="43" t="s">
        <v>276</v>
      </c>
      <c r="G364" s="23" t="s">
        <v>277</v>
      </c>
      <c r="H364" s="23" t="s">
        <v>8</v>
      </c>
      <c r="I364" s="157" t="s">
        <v>93</v>
      </c>
    </row>
    <row r="365" spans="1:9" x14ac:dyDescent="0.25">
      <c r="A365" s="188" t="s">
        <v>278</v>
      </c>
      <c r="B365" s="189"/>
      <c r="C365" s="189"/>
      <c r="D365" s="189"/>
      <c r="E365" s="189"/>
      <c r="F365" s="189"/>
      <c r="G365" s="189"/>
      <c r="H365" s="189"/>
      <c r="I365" s="190"/>
    </row>
    <row r="366" spans="1:9" ht="19.5" thickBot="1" x14ac:dyDescent="0.3"/>
    <row r="367" spans="1:9" x14ac:dyDescent="0.25">
      <c r="A367" s="87">
        <v>1</v>
      </c>
      <c r="B367" s="88">
        <v>0.92013888888888884</v>
      </c>
      <c r="C367" s="89">
        <v>1188</v>
      </c>
      <c r="D367" s="89" t="s">
        <v>183</v>
      </c>
      <c r="E367" s="89" t="s">
        <v>271</v>
      </c>
      <c r="F367" s="89" t="s">
        <v>103</v>
      </c>
      <c r="G367" s="90" t="s">
        <v>279</v>
      </c>
      <c r="H367" s="90" t="s">
        <v>8</v>
      </c>
      <c r="I367" s="168" t="s">
        <v>243</v>
      </c>
    </row>
    <row r="368" spans="1:9" x14ac:dyDescent="0.25">
      <c r="A368" s="182">
        <v>46096</v>
      </c>
      <c r="B368" s="183"/>
      <c r="C368" s="183"/>
      <c r="D368" s="183"/>
      <c r="E368" s="183"/>
      <c r="F368" s="183"/>
      <c r="G368" s="183"/>
      <c r="H368" s="183"/>
      <c r="I368" s="184"/>
    </row>
    <row r="369" spans="1:9" x14ac:dyDescent="0.25">
      <c r="A369" s="15">
        <v>2</v>
      </c>
      <c r="B369" s="46">
        <v>2.013888888888889E-2</v>
      </c>
      <c r="C369" s="38" t="s">
        <v>281</v>
      </c>
      <c r="D369" s="38" t="s">
        <v>97</v>
      </c>
      <c r="E369" s="38" t="s">
        <v>38</v>
      </c>
      <c r="F369" s="38" t="s">
        <v>123</v>
      </c>
      <c r="G369" s="5">
        <v>7</v>
      </c>
      <c r="H369" s="5" t="s">
        <v>280</v>
      </c>
      <c r="I369" s="156" t="s">
        <v>243</v>
      </c>
    </row>
    <row r="370" spans="1:9" x14ac:dyDescent="0.25">
      <c r="A370" s="15">
        <v>3</v>
      </c>
      <c r="B370" s="46">
        <v>0.3354166666666667</v>
      </c>
      <c r="C370" s="38">
        <v>1000</v>
      </c>
      <c r="D370" s="38" t="s">
        <v>97</v>
      </c>
      <c r="E370" s="38" t="s">
        <v>187</v>
      </c>
      <c r="F370" s="38" t="s">
        <v>282</v>
      </c>
      <c r="G370" s="5">
        <v>3</v>
      </c>
      <c r="H370" s="5" t="s">
        <v>280</v>
      </c>
      <c r="I370" s="156" t="s">
        <v>243</v>
      </c>
    </row>
    <row r="371" spans="1:9" x14ac:dyDescent="0.25">
      <c r="A371" s="22">
        <v>4</v>
      </c>
      <c r="B371" s="56">
        <v>0.36180555555555555</v>
      </c>
      <c r="C371" s="43"/>
      <c r="D371" s="43" t="s">
        <v>97</v>
      </c>
      <c r="E371" s="43" t="s">
        <v>283</v>
      </c>
      <c r="F371" s="43" t="s">
        <v>288</v>
      </c>
      <c r="G371" s="23" t="s">
        <v>285</v>
      </c>
      <c r="H371" s="23" t="s">
        <v>284</v>
      </c>
      <c r="I371" s="161" t="s">
        <v>243</v>
      </c>
    </row>
    <row r="372" spans="1:9" x14ac:dyDescent="0.25">
      <c r="A372" s="15">
        <v>5</v>
      </c>
      <c r="B372" s="46">
        <v>0.53680555555555554</v>
      </c>
      <c r="C372" s="38">
        <v>1004</v>
      </c>
      <c r="D372" s="38" t="s">
        <v>97</v>
      </c>
      <c r="E372" s="38" t="s">
        <v>104</v>
      </c>
      <c r="F372" s="38" t="s">
        <v>286</v>
      </c>
      <c r="G372" s="5">
        <v>2</v>
      </c>
      <c r="H372" s="5" t="s">
        <v>280</v>
      </c>
      <c r="I372" s="156" t="s">
        <v>243</v>
      </c>
    </row>
    <row r="373" spans="1:9" x14ac:dyDescent="0.25">
      <c r="A373" s="22">
        <v>6</v>
      </c>
      <c r="B373" s="56">
        <v>0.54652777777777783</v>
      </c>
      <c r="C373" s="43"/>
      <c r="D373" s="43" t="s">
        <v>97</v>
      </c>
      <c r="E373" s="43" t="s">
        <v>38</v>
      </c>
      <c r="F373" s="43" t="s">
        <v>289</v>
      </c>
      <c r="G373" s="23" t="s">
        <v>287</v>
      </c>
      <c r="H373" s="23" t="s">
        <v>284</v>
      </c>
      <c r="I373" s="161" t="s">
        <v>243</v>
      </c>
    </row>
    <row r="374" spans="1:9" ht="19.5" thickBot="1" x14ac:dyDescent="0.3">
      <c r="A374" s="173" t="s">
        <v>290</v>
      </c>
      <c r="B374" s="174"/>
      <c r="C374" s="174"/>
      <c r="D374" s="174"/>
      <c r="E374" s="174"/>
      <c r="F374" s="174"/>
      <c r="G374" s="174"/>
      <c r="H374" s="174"/>
      <c r="I374" s="175"/>
    </row>
    <row r="375" spans="1:9" ht="19.5" thickBot="1" x14ac:dyDescent="0.3"/>
    <row r="376" spans="1:9" x14ac:dyDescent="0.25">
      <c r="A376" s="185">
        <v>46097</v>
      </c>
      <c r="B376" s="186"/>
      <c r="C376" s="186"/>
      <c r="D376" s="186"/>
      <c r="E376" s="186"/>
      <c r="F376" s="186"/>
      <c r="G376" s="186"/>
      <c r="H376" s="186"/>
      <c r="I376" s="187"/>
    </row>
    <row r="377" spans="1:9" x14ac:dyDescent="0.25">
      <c r="A377" s="15">
        <v>1</v>
      </c>
      <c r="B377" s="46">
        <v>0.15347222222222223</v>
      </c>
      <c r="C377" s="38">
        <v>1019</v>
      </c>
      <c r="D377" s="38" t="s">
        <v>97</v>
      </c>
      <c r="E377" s="38" t="s">
        <v>11</v>
      </c>
      <c r="F377" s="38" t="s">
        <v>24</v>
      </c>
      <c r="G377" s="5">
        <v>1</v>
      </c>
      <c r="H377" s="5" t="s">
        <v>7</v>
      </c>
      <c r="I377" s="156" t="s">
        <v>243</v>
      </c>
    </row>
    <row r="378" spans="1:9" x14ac:dyDescent="0.25">
      <c r="A378" s="15">
        <v>2</v>
      </c>
      <c r="B378" s="46">
        <v>0.15416666666666667</v>
      </c>
      <c r="C378" s="38">
        <v>1020</v>
      </c>
      <c r="D378" s="38" t="s">
        <v>97</v>
      </c>
      <c r="E378" s="38" t="s">
        <v>11</v>
      </c>
      <c r="F378" s="38" t="s">
        <v>24</v>
      </c>
      <c r="G378" s="5">
        <v>2</v>
      </c>
      <c r="H378" s="5" t="s">
        <v>7</v>
      </c>
      <c r="I378" s="156" t="s">
        <v>243</v>
      </c>
    </row>
    <row r="379" spans="1:9" x14ac:dyDescent="0.25">
      <c r="A379" s="15">
        <v>3</v>
      </c>
      <c r="B379" s="46">
        <v>0.21597222222222223</v>
      </c>
      <c r="C379" s="38">
        <v>1011</v>
      </c>
      <c r="D379" s="38" t="s">
        <v>97</v>
      </c>
      <c r="E379" s="38" t="s">
        <v>140</v>
      </c>
      <c r="F379" s="38" t="s">
        <v>24</v>
      </c>
      <c r="G379" s="5">
        <v>2</v>
      </c>
      <c r="H379" s="5" t="s">
        <v>7</v>
      </c>
      <c r="I379" s="156" t="s">
        <v>243</v>
      </c>
    </row>
    <row r="380" spans="1:9" x14ac:dyDescent="0.25">
      <c r="A380" s="15">
        <v>4</v>
      </c>
      <c r="B380" s="46">
        <v>0.375</v>
      </c>
      <c r="C380" s="38">
        <v>457</v>
      </c>
      <c r="D380" s="38"/>
      <c r="E380" s="38" t="s">
        <v>292</v>
      </c>
      <c r="F380" s="38" t="s">
        <v>293</v>
      </c>
      <c r="G380" s="5" t="s">
        <v>223</v>
      </c>
      <c r="H380" s="5" t="s">
        <v>294</v>
      </c>
      <c r="I380" s="156" t="s">
        <v>243</v>
      </c>
    </row>
    <row r="381" spans="1:9" x14ac:dyDescent="0.25">
      <c r="A381" s="15">
        <v>5</v>
      </c>
      <c r="B381" s="46">
        <v>0.375</v>
      </c>
      <c r="C381" s="38">
        <v>463</v>
      </c>
      <c r="D381" s="38"/>
      <c r="E381" s="38" t="s">
        <v>291</v>
      </c>
      <c r="F381" s="38" t="s">
        <v>295</v>
      </c>
      <c r="G381" s="5" t="s">
        <v>296</v>
      </c>
      <c r="H381" s="5" t="s">
        <v>294</v>
      </c>
      <c r="I381" s="156" t="s">
        <v>243</v>
      </c>
    </row>
    <row r="382" spans="1:9" x14ac:dyDescent="0.25">
      <c r="A382" s="15">
        <v>6</v>
      </c>
      <c r="B382" s="46">
        <v>0.42430555555555555</v>
      </c>
      <c r="C382" s="38">
        <v>1000</v>
      </c>
      <c r="D382" s="38" t="s">
        <v>97</v>
      </c>
      <c r="E382" s="38" t="s">
        <v>187</v>
      </c>
      <c r="F382" s="38" t="s">
        <v>297</v>
      </c>
      <c r="G382" s="5">
        <v>3</v>
      </c>
      <c r="H382" s="5" t="s">
        <v>7</v>
      </c>
      <c r="I382" s="156" t="s">
        <v>243</v>
      </c>
    </row>
    <row r="383" spans="1:9" x14ac:dyDescent="0.25">
      <c r="A383" s="22">
        <v>7</v>
      </c>
      <c r="B383" s="56">
        <v>0.4909722222222222</v>
      </c>
      <c r="C383" s="43"/>
      <c r="D383" s="43" t="s">
        <v>97</v>
      </c>
      <c r="E383" s="43" t="s">
        <v>298</v>
      </c>
      <c r="F383" s="43" t="s">
        <v>299</v>
      </c>
      <c r="G383" s="23" t="s">
        <v>300</v>
      </c>
      <c r="H383" s="23" t="s">
        <v>284</v>
      </c>
      <c r="I383" s="161" t="s">
        <v>243</v>
      </c>
    </row>
    <row r="384" spans="1:9" ht="19.5" thickBot="1" x14ac:dyDescent="0.3">
      <c r="A384" s="173" t="s">
        <v>301</v>
      </c>
      <c r="B384" s="174"/>
      <c r="C384" s="174"/>
      <c r="D384" s="174"/>
      <c r="E384" s="174"/>
      <c r="F384" s="174"/>
      <c r="G384" s="174"/>
      <c r="H384" s="174"/>
      <c r="I384" s="175"/>
    </row>
    <row r="385" spans="1:9" ht="19.5" thickBot="1" x14ac:dyDescent="0.3"/>
    <row r="386" spans="1:9" x14ac:dyDescent="0.25">
      <c r="A386" s="87">
        <v>1</v>
      </c>
      <c r="B386" s="88">
        <v>0.66666666666666663</v>
      </c>
      <c r="C386" s="89">
        <v>679</v>
      </c>
      <c r="D386" s="89" t="s">
        <v>97</v>
      </c>
      <c r="E386" s="89" t="s">
        <v>302</v>
      </c>
      <c r="F386" s="89" t="s">
        <v>303</v>
      </c>
      <c r="G386" s="90" t="s">
        <v>304</v>
      </c>
      <c r="H386" s="90" t="s">
        <v>305</v>
      </c>
      <c r="I386" s="167" t="s">
        <v>93</v>
      </c>
    </row>
    <row r="387" spans="1:9" x14ac:dyDescent="0.25">
      <c r="A387" s="15">
        <v>2</v>
      </c>
      <c r="B387" s="46">
        <v>0.95277777777777783</v>
      </c>
      <c r="C387" s="38">
        <v>1184</v>
      </c>
      <c r="D387" s="38" t="s">
        <v>97</v>
      </c>
      <c r="E387" s="38" t="s">
        <v>307</v>
      </c>
      <c r="F387" s="38" t="s">
        <v>282</v>
      </c>
      <c r="G387" s="5">
        <v>1</v>
      </c>
      <c r="H387" s="5" t="s">
        <v>306</v>
      </c>
      <c r="I387" s="156" t="s">
        <v>243</v>
      </c>
    </row>
    <row r="388" spans="1:9" x14ac:dyDescent="0.25">
      <c r="A388" s="182">
        <v>46098</v>
      </c>
      <c r="B388" s="183"/>
      <c r="C388" s="183"/>
      <c r="D388" s="183"/>
      <c r="E388" s="183"/>
      <c r="F388" s="183"/>
      <c r="G388" s="183"/>
      <c r="H388" s="183"/>
      <c r="I388" s="184"/>
    </row>
    <row r="389" spans="1:9" x14ac:dyDescent="0.25">
      <c r="A389" s="15">
        <v>3</v>
      </c>
      <c r="B389" s="46">
        <v>3.888888888888889E-2</v>
      </c>
      <c r="C389" s="38">
        <v>1020</v>
      </c>
      <c r="D389" s="38" t="s">
        <v>97</v>
      </c>
      <c r="E389" s="38" t="s">
        <v>11</v>
      </c>
      <c r="F389" s="38" t="s">
        <v>24</v>
      </c>
      <c r="G389" s="5">
        <v>2</v>
      </c>
      <c r="H389" s="5" t="s">
        <v>7</v>
      </c>
      <c r="I389" s="156" t="s">
        <v>243</v>
      </c>
    </row>
    <row r="390" spans="1:9" x14ac:dyDescent="0.25">
      <c r="A390" s="15">
        <v>4</v>
      </c>
      <c r="B390" s="46">
        <v>0.14861111111111111</v>
      </c>
      <c r="C390" s="38">
        <v>1019</v>
      </c>
      <c r="D390" s="38" t="s">
        <v>97</v>
      </c>
      <c r="E390" s="38" t="s">
        <v>11</v>
      </c>
      <c r="F390" s="38" t="s">
        <v>24</v>
      </c>
      <c r="G390" s="5">
        <v>1</v>
      </c>
      <c r="H390" s="5" t="s">
        <v>7</v>
      </c>
      <c r="I390" s="156" t="s">
        <v>243</v>
      </c>
    </row>
    <row r="391" spans="1:9" x14ac:dyDescent="0.25">
      <c r="A391" s="15">
        <v>5</v>
      </c>
      <c r="B391" s="46">
        <v>0.16458333333333333</v>
      </c>
      <c r="C391" s="38">
        <v>983</v>
      </c>
      <c r="D391" s="38" t="s">
        <v>97</v>
      </c>
      <c r="E391" s="38" t="s">
        <v>67</v>
      </c>
      <c r="F391" s="38" t="s">
        <v>147</v>
      </c>
      <c r="G391" s="5">
        <v>14</v>
      </c>
      <c r="H391" s="5" t="s">
        <v>306</v>
      </c>
      <c r="I391" s="156" t="s">
        <v>243</v>
      </c>
    </row>
    <row r="392" spans="1:9" x14ac:dyDescent="0.25">
      <c r="A392" s="15">
        <v>6</v>
      </c>
      <c r="B392" s="46">
        <v>0.21388888888888891</v>
      </c>
      <c r="C392" s="38">
        <v>1018</v>
      </c>
      <c r="D392" s="38" t="s">
        <v>97</v>
      </c>
      <c r="E392" s="38" t="s">
        <v>15</v>
      </c>
      <c r="F392" s="38" t="s">
        <v>24</v>
      </c>
      <c r="G392" s="5">
        <v>2</v>
      </c>
      <c r="H392" s="5" t="s">
        <v>7</v>
      </c>
      <c r="I392" s="156" t="s">
        <v>243</v>
      </c>
    </row>
    <row r="393" spans="1:9" x14ac:dyDescent="0.25">
      <c r="A393" s="15">
        <v>7</v>
      </c>
      <c r="B393" s="46">
        <v>0.25555555555555559</v>
      </c>
      <c r="C393" s="38">
        <v>1001</v>
      </c>
      <c r="D393" s="38" t="s">
        <v>97</v>
      </c>
      <c r="E393" s="38" t="s">
        <v>38</v>
      </c>
      <c r="F393" s="38" t="s">
        <v>295</v>
      </c>
      <c r="G393" s="5" t="s">
        <v>234</v>
      </c>
      <c r="H393" s="5" t="s">
        <v>306</v>
      </c>
      <c r="I393" s="156" t="s">
        <v>243</v>
      </c>
    </row>
    <row r="394" spans="1:9" x14ac:dyDescent="0.25">
      <c r="A394" s="15">
        <v>8</v>
      </c>
      <c r="B394" s="46">
        <v>0.3215277777777778</v>
      </c>
      <c r="C394" s="38">
        <v>1475</v>
      </c>
      <c r="D394" s="38" t="s">
        <v>97</v>
      </c>
      <c r="E394" s="38" t="s">
        <v>216</v>
      </c>
      <c r="F394" s="38" t="s">
        <v>308</v>
      </c>
      <c r="G394" s="5">
        <v>1</v>
      </c>
      <c r="H394" s="5" t="s">
        <v>306</v>
      </c>
      <c r="I394" s="156" t="s">
        <v>243</v>
      </c>
    </row>
    <row r="395" spans="1:9" x14ac:dyDescent="0.25">
      <c r="A395" s="15">
        <v>9</v>
      </c>
      <c r="B395" s="46">
        <v>0.3215277777777778</v>
      </c>
      <c r="C395" s="38">
        <v>1184</v>
      </c>
      <c r="D395" s="38" t="s">
        <v>97</v>
      </c>
      <c r="E395" s="38" t="s">
        <v>307</v>
      </c>
      <c r="F395" s="38" t="s">
        <v>282</v>
      </c>
      <c r="G395" s="5">
        <v>1</v>
      </c>
      <c r="H395" s="5" t="s">
        <v>306</v>
      </c>
      <c r="I395" s="156" t="s">
        <v>243</v>
      </c>
    </row>
    <row r="396" spans="1:9" x14ac:dyDescent="0.25">
      <c r="A396" s="15">
        <v>10</v>
      </c>
      <c r="B396" s="46">
        <v>0.32500000000000001</v>
      </c>
      <c r="C396" s="38">
        <v>1169</v>
      </c>
      <c r="D396" s="38" t="s">
        <v>97</v>
      </c>
      <c r="E396" s="38" t="s">
        <v>309</v>
      </c>
      <c r="F396" s="38" t="s">
        <v>310</v>
      </c>
      <c r="G396" s="5">
        <v>1</v>
      </c>
      <c r="H396" s="5" t="s">
        <v>306</v>
      </c>
      <c r="I396" s="156" t="s">
        <v>243</v>
      </c>
    </row>
    <row r="397" spans="1:9" x14ac:dyDescent="0.25">
      <c r="A397" s="15">
        <v>11</v>
      </c>
      <c r="B397" s="46">
        <v>0.44166666666666665</v>
      </c>
      <c r="C397" s="38">
        <v>1006</v>
      </c>
      <c r="D397" s="38" t="s">
        <v>97</v>
      </c>
      <c r="E397" s="38" t="s">
        <v>130</v>
      </c>
      <c r="F397" s="38" t="s">
        <v>311</v>
      </c>
      <c r="G397" s="5">
        <v>2</v>
      </c>
      <c r="H397" s="5" t="s">
        <v>306</v>
      </c>
      <c r="I397" s="156" t="s">
        <v>243</v>
      </c>
    </row>
    <row r="398" spans="1:9" x14ac:dyDescent="0.25">
      <c r="A398" s="15">
        <v>12</v>
      </c>
      <c r="B398" s="46">
        <v>0.44513888888888892</v>
      </c>
      <c r="C398" s="38">
        <v>993</v>
      </c>
      <c r="D398" s="38" t="s">
        <v>97</v>
      </c>
      <c r="E398" s="38" t="s">
        <v>38</v>
      </c>
      <c r="F398" s="38" t="s">
        <v>282</v>
      </c>
      <c r="G398" s="5">
        <v>2</v>
      </c>
      <c r="H398" s="5" t="s">
        <v>306</v>
      </c>
      <c r="I398" s="156" t="s">
        <v>243</v>
      </c>
    </row>
    <row r="399" spans="1:9" x14ac:dyDescent="0.25">
      <c r="A399" s="15">
        <v>13</v>
      </c>
      <c r="B399" s="46">
        <v>0.52430555555555558</v>
      </c>
      <c r="C399" s="38" t="s">
        <v>312</v>
      </c>
      <c r="D399" s="38" t="s">
        <v>97</v>
      </c>
      <c r="E399" s="38" t="s">
        <v>43</v>
      </c>
      <c r="F399" s="38" t="s">
        <v>313</v>
      </c>
      <c r="G399" s="5" t="s">
        <v>316</v>
      </c>
      <c r="H399" s="5" t="s">
        <v>306</v>
      </c>
      <c r="I399" s="156" t="s">
        <v>243</v>
      </c>
    </row>
    <row r="400" spans="1:9" x14ac:dyDescent="0.25">
      <c r="A400" s="15">
        <v>14</v>
      </c>
      <c r="B400" s="46">
        <v>0.52916666666666667</v>
      </c>
      <c r="C400" s="38">
        <v>450</v>
      </c>
      <c r="D400" s="38" t="s">
        <v>97</v>
      </c>
      <c r="E400" s="38" t="s">
        <v>314</v>
      </c>
      <c r="F400" s="38" t="s">
        <v>315</v>
      </c>
      <c r="G400" s="5">
        <v>15</v>
      </c>
      <c r="H400" s="5" t="s">
        <v>306</v>
      </c>
      <c r="I400" s="156" t="s">
        <v>243</v>
      </c>
    </row>
    <row r="401" spans="1:9" x14ac:dyDescent="0.25">
      <c r="A401" s="22">
        <v>15</v>
      </c>
      <c r="B401" s="56">
        <v>0.54652777777777783</v>
      </c>
      <c r="C401" s="43"/>
      <c r="D401" s="43" t="s">
        <v>97</v>
      </c>
      <c r="E401" s="43" t="s">
        <v>302</v>
      </c>
      <c r="F401" s="43" t="s">
        <v>303</v>
      </c>
      <c r="G401" s="23" t="s">
        <v>317</v>
      </c>
      <c r="H401" s="23" t="s">
        <v>305</v>
      </c>
      <c r="I401" s="161" t="s">
        <v>243</v>
      </c>
    </row>
    <row r="402" spans="1:9" ht="19.5" thickBot="1" x14ac:dyDescent="0.3">
      <c r="A402" s="96">
        <v>16</v>
      </c>
      <c r="B402" s="97">
        <v>0.57500000000000007</v>
      </c>
      <c r="C402" s="98"/>
      <c r="D402" s="98" t="s">
        <v>318</v>
      </c>
      <c r="E402" s="98" t="s">
        <v>319</v>
      </c>
      <c r="F402" s="98" t="s">
        <v>320</v>
      </c>
      <c r="G402" s="99" t="s">
        <v>113</v>
      </c>
      <c r="H402" s="99" t="s">
        <v>305</v>
      </c>
      <c r="I402" s="169" t="s">
        <v>243</v>
      </c>
    </row>
    <row r="403" spans="1:9" ht="19.5" thickBot="1" x14ac:dyDescent="0.3">
      <c r="A403" s="173" t="s">
        <v>321</v>
      </c>
      <c r="B403" s="174"/>
      <c r="C403" s="174"/>
      <c r="D403" s="174"/>
      <c r="E403" s="174"/>
      <c r="F403" s="174"/>
      <c r="G403" s="174"/>
      <c r="H403" s="174"/>
      <c r="I403" s="175"/>
    </row>
    <row r="404" spans="1:9" ht="19.5" thickBot="1" x14ac:dyDescent="0.3"/>
    <row r="405" spans="1:9" x14ac:dyDescent="0.25">
      <c r="A405" s="87">
        <v>1</v>
      </c>
      <c r="B405" s="88">
        <v>0.72430555555555554</v>
      </c>
      <c r="C405" s="89">
        <v>1022</v>
      </c>
      <c r="D405" s="89" t="s">
        <v>97</v>
      </c>
      <c r="E405" s="89" t="s">
        <v>140</v>
      </c>
      <c r="F405" s="89" t="s">
        <v>295</v>
      </c>
      <c r="G405" s="90" t="s">
        <v>304</v>
      </c>
      <c r="H405" s="90" t="s">
        <v>305</v>
      </c>
      <c r="I405" s="167" t="s">
        <v>93</v>
      </c>
    </row>
    <row r="406" spans="1:9" x14ac:dyDescent="0.25">
      <c r="A406" s="15">
        <v>2</v>
      </c>
      <c r="B406" s="46">
        <v>0.74375000000000002</v>
      </c>
      <c r="C406" s="38">
        <v>1021</v>
      </c>
      <c r="D406" s="38" t="s">
        <v>97</v>
      </c>
      <c r="E406" s="38" t="s">
        <v>140</v>
      </c>
      <c r="F406" s="38" t="s">
        <v>310</v>
      </c>
      <c r="G406" s="5">
        <v>7</v>
      </c>
      <c r="H406" s="5" t="s">
        <v>306</v>
      </c>
      <c r="I406" s="156" t="s">
        <v>243</v>
      </c>
    </row>
    <row r="407" spans="1:9" x14ac:dyDescent="0.25">
      <c r="A407" s="22">
        <v>3</v>
      </c>
      <c r="B407" s="56">
        <v>0.98958333333333337</v>
      </c>
      <c r="C407" s="43">
        <v>1029</v>
      </c>
      <c r="D407" s="43" t="s">
        <v>97</v>
      </c>
      <c r="E407" s="43" t="s">
        <v>167</v>
      </c>
      <c r="F407" s="43" t="s">
        <v>293</v>
      </c>
      <c r="G407" s="23">
        <v>7</v>
      </c>
      <c r="H407" s="23" t="s">
        <v>195</v>
      </c>
      <c r="I407" s="161" t="s">
        <v>208</v>
      </c>
    </row>
    <row r="408" spans="1:9" x14ac:dyDescent="0.25">
      <c r="A408" s="182">
        <v>46099</v>
      </c>
      <c r="B408" s="183"/>
      <c r="C408" s="183"/>
      <c r="D408" s="183"/>
      <c r="E408" s="183"/>
      <c r="F408" s="183"/>
      <c r="G408" s="183"/>
      <c r="H408" s="183"/>
      <c r="I408" s="184"/>
    </row>
    <row r="409" spans="1:9" x14ac:dyDescent="0.25">
      <c r="A409" s="15">
        <v>4</v>
      </c>
      <c r="B409" s="46">
        <v>3.888888888888889E-2</v>
      </c>
      <c r="C409" s="38">
        <v>1018</v>
      </c>
      <c r="D409" s="38" t="s">
        <v>97</v>
      </c>
      <c r="E409" s="38" t="s">
        <v>15</v>
      </c>
      <c r="F409" s="38" t="s">
        <v>295</v>
      </c>
      <c r="G409" s="5" t="s">
        <v>322</v>
      </c>
      <c r="H409" s="5" t="s">
        <v>306</v>
      </c>
      <c r="I409" s="156" t="s">
        <v>323</v>
      </c>
    </row>
    <row r="410" spans="1:9" x14ac:dyDescent="0.25">
      <c r="A410" s="15">
        <v>5</v>
      </c>
      <c r="B410" s="46">
        <v>4.1666666666666664E-2</v>
      </c>
      <c r="C410" s="38">
        <v>1019</v>
      </c>
      <c r="D410" s="38" t="s">
        <v>97</v>
      </c>
      <c r="E410" s="38" t="s">
        <v>11</v>
      </c>
      <c r="F410" s="38" t="s">
        <v>24</v>
      </c>
      <c r="G410" s="5">
        <v>2</v>
      </c>
      <c r="H410" s="5" t="s">
        <v>7</v>
      </c>
      <c r="I410" s="156" t="s">
        <v>243</v>
      </c>
    </row>
    <row r="411" spans="1:9" x14ac:dyDescent="0.25">
      <c r="A411" s="15">
        <v>6</v>
      </c>
      <c r="B411" s="46">
        <v>0.1111111111111111</v>
      </c>
      <c r="C411" s="38">
        <v>1004</v>
      </c>
      <c r="D411" s="38" t="s">
        <v>97</v>
      </c>
      <c r="E411" s="38" t="s">
        <v>104</v>
      </c>
      <c r="F411" s="38" t="s">
        <v>147</v>
      </c>
      <c r="G411" s="5">
        <v>14</v>
      </c>
      <c r="H411" s="5" t="s">
        <v>306</v>
      </c>
      <c r="I411" s="156" t="s">
        <v>243</v>
      </c>
    </row>
    <row r="412" spans="1:9" x14ac:dyDescent="0.25">
      <c r="A412" s="15">
        <v>7</v>
      </c>
      <c r="B412" s="46">
        <v>0.11527777777777777</v>
      </c>
      <c r="C412" s="38">
        <v>1020</v>
      </c>
      <c r="D412" s="38" t="s">
        <v>97</v>
      </c>
      <c r="E412" s="38" t="s">
        <v>11</v>
      </c>
      <c r="F412" s="38" t="s">
        <v>24</v>
      </c>
      <c r="G412" s="5">
        <v>2</v>
      </c>
      <c r="H412" s="5" t="s">
        <v>7</v>
      </c>
      <c r="I412" s="156" t="s">
        <v>243</v>
      </c>
    </row>
    <row r="413" spans="1:9" x14ac:dyDescent="0.25">
      <c r="A413" s="15">
        <v>8</v>
      </c>
      <c r="B413" s="46">
        <v>0.42777777777777781</v>
      </c>
      <c r="C413" s="38">
        <v>1013</v>
      </c>
      <c r="D413" s="38" t="s">
        <v>97</v>
      </c>
      <c r="E413" s="38" t="s">
        <v>104</v>
      </c>
      <c r="F413" s="38" t="s">
        <v>310</v>
      </c>
      <c r="G413" s="5">
        <v>2</v>
      </c>
      <c r="H413" s="5" t="s">
        <v>306</v>
      </c>
      <c r="I413" s="156" t="s">
        <v>243</v>
      </c>
    </row>
    <row r="414" spans="1:9" x14ac:dyDescent="0.25">
      <c r="A414" s="22">
        <v>9</v>
      </c>
      <c r="B414" s="56">
        <v>0.53194444444444444</v>
      </c>
      <c r="C414" s="43"/>
      <c r="D414" s="43" t="s">
        <v>97</v>
      </c>
      <c r="E414" s="43" t="s">
        <v>324</v>
      </c>
      <c r="F414" s="43" t="s">
        <v>325</v>
      </c>
      <c r="G414" s="23" t="s">
        <v>317</v>
      </c>
      <c r="H414" s="23" t="s">
        <v>195</v>
      </c>
      <c r="I414" s="161" t="s">
        <v>243</v>
      </c>
    </row>
    <row r="415" spans="1:9" x14ac:dyDescent="0.25">
      <c r="A415" s="15">
        <v>10</v>
      </c>
      <c r="B415" s="46">
        <v>0.61111111111111105</v>
      </c>
      <c r="C415" s="38"/>
      <c r="D415" s="38" t="s">
        <v>97</v>
      </c>
      <c r="E415" s="38" t="s">
        <v>326</v>
      </c>
      <c r="F415" s="38" t="s">
        <v>329</v>
      </c>
      <c r="G415" s="5" t="s">
        <v>327</v>
      </c>
      <c r="H415" s="5" t="s">
        <v>306</v>
      </c>
      <c r="I415" s="156" t="s">
        <v>243</v>
      </c>
    </row>
    <row r="416" spans="1:9" x14ac:dyDescent="0.25">
      <c r="A416" s="15">
        <v>11</v>
      </c>
      <c r="B416" s="46">
        <v>0.61458333333333337</v>
      </c>
      <c r="C416" s="38"/>
      <c r="D416" s="38" t="s">
        <v>97</v>
      </c>
      <c r="E416" s="38" t="s">
        <v>328</v>
      </c>
      <c r="F416" s="38" t="s">
        <v>330</v>
      </c>
      <c r="G416" s="5" t="s">
        <v>204</v>
      </c>
      <c r="H416" s="5" t="s">
        <v>306</v>
      </c>
      <c r="I416" s="156" t="s">
        <v>243</v>
      </c>
    </row>
    <row r="417" spans="1:9" ht="19.5" thickBot="1" x14ac:dyDescent="0.3">
      <c r="A417" s="173" t="s">
        <v>331</v>
      </c>
      <c r="B417" s="174"/>
      <c r="C417" s="174"/>
      <c r="D417" s="174"/>
      <c r="E417" s="174"/>
      <c r="F417" s="174"/>
      <c r="G417" s="174"/>
      <c r="H417" s="174"/>
      <c r="I417" s="175"/>
    </row>
    <row r="419" spans="1:9" ht="19.5" thickBot="1" x14ac:dyDescent="0.3">
      <c r="A419" s="183">
        <v>46100</v>
      </c>
      <c r="B419" s="183"/>
      <c r="C419" s="183"/>
      <c r="D419" s="183"/>
      <c r="E419" s="183"/>
      <c r="F419" s="183"/>
      <c r="G419" s="183"/>
      <c r="H419" s="183"/>
      <c r="I419" s="183"/>
    </row>
    <row r="420" spans="1:9" x14ac:dyDescent="0.25">
      <c r="A420" s="14">
        <v>1</v>
      </c>
      <c r="B420" s="45">
        <v>2.6388888888888889E-2</v>
      </c>
      <c r="C420" s="37">
        <v>1007</v>
      </c>
      <c r="D420" s="37" t="s">
        <v>97</v>
      </c>
      <c r="E420" s="37" t="s">
        <v>104</v>
      </c>
      <c r="F420" s="37" t="s">
        <v>24</v>
      </c>
      <c r="G420" s="151">
        <v>3</v>
      </c>
      <c r="H420" s="151" t="s">
        <v>7</v>
      </c>
      <c r="I420" s="155" t="s">
        <v>243</v>
      </c>
    </row>
    <row r="421" spans="1:9" x14ac:dyDescent="0.25">
      <c r="A421" s="15">
        <v>2</v>
      </c>
      <c r="B421" s="46">
        <v>9.9999999999999992E-2</v>
      </c>
      <c r="C421" s="38">
        <v>1019</v>
      </c>
      <c r="D421" s="38" t="s">
        <v>97</v>
      </c>
      <c r="E421" s="38" t="s">
        <v>11</v>
      </c>
      <c r="F421" s="38" t="s">
        <v>24</v>
      </c>
      <c r="G421" s="5">
        <v>4</v>
      </c>
      <c r="H421" s="5" t="s">
        <v>7</v>
      </c>
      <c r="I421" s="156" t="s">
        <v>243</v>
      </c>
    </row>
    <row r="422" spans="1:9" x14ac:dyDescent="0.25">
      <c r="A422" s="15">
        <v>3</v>
      </c>
      <c r="B422" s="46">
        <v>0.17847222222222223</v>
      </c>
      <c r="C422" s="38">
        <v>1023</v>
      </c>
      <c r="D422" s="38" t="s">
        <v>97</v>
      </c>
      <c r="E422" s="38" t="s">
        <v>140</v>
      </c>
      <c r="F422" s="38" t="s">
        <v>24</v>
      </c>
      <c r="G422" s="5">
        <v>3</v>
      </c>
      <c r="H422" s="5" t="s">
        <v>7</v>
      </c>
      <c r="I422" s="156" t="s">
        <v>243</v>
      </c>
    </row>
    <row r="423" spans="1:9" x14ac:dyDescent="0.25">
      <c r="A423" s="15">
        <v>4</v>
      </c>
      <c r="B423" s="46">
        <v>0.2902777777777778</v>
      </c>
      <c r="C423" s="38">
        <v>1013</v>
      </c>
      <c r="D423" s="38" t="s">
        <v>97</v>
      </c>
      <c r="E423" s="38" t="s">
        <v>104</v>
      </c>
      <c r="F423" s="38" t="s">
        <v>310</v>
      </c>
      <c r="G423" s="5">
        <v>2</v>
      </c>
      <c r="H423" s="5" t="s">
        <v>7</v>
      </c>
      <c r="I423" s="156" t="s">
        <v>243</v>
      </c>
    </row>
    <row r="424" spans="1:9" x14ac:dyDescent="0.25">
      <c r="A424" s="15">
        <v>5</v>
      </c>
      <c r="B424" s="46">
        <v>0.38958333333333334</v>
      </c>
      <c r="C424" s="38">
        <v>1011</v>
      </c>
      <c r="D424" s="38" t="s">
        <v>97</v>
      </c>
      <c r="E424" s="38" t="s">
        <v>140</v>
      </c>
      <c r="F424" s="38" t="s">
        <v>315</v>
      </c>
      <c r="G424" s="5">
        <v>5</v>
      </c>
      <c r="H424" s="5" t="s">
        <v>7</v>
      </c>
      <c r="I424" s="156" t="s">
        <v>243</v>
      </c>
    </row>
    <row r="425" spans="1:9" x14ac:dyDescent="0.25">
      <c r="A425" s="22">
        <v>6</v>
      </c>
      <c r="B425" s="56">
        <v>0.47291666666666665</v>
      </c>
      <c r="C425" s="43"/>
      <c r="D425" s="43" t="s">
        <v>97</v>
      </c>
      <c r="E425" s="43" t="s">
        <v>38</v>
      </c>
      <c r="F425" s="43" t="s">
        <v>332</v>
      </c>
      <c r="G425" s="23" t="s">
        <v>317</v>
      </c>
      <c r="H425" s="23" t="s">
        <v>305</v>
      </c>
      <c r="I425" s="161" t="s">
        <v>243</v>
      </c>
    </row>
    <row r="426" spans="1:9" x14ac:dyDescent="0.25">
      <c r="A426" s="22">
        <v>7</v>
      </c>
      <c r="B426" s="56">
        <v>0.5493055555555556</v>
      </c>
      <c r="C426" s="43"/>
      <c r="D426" s="43" t="s">
        <v>97</v>
      </c>
      <c r="E426" s="57">
        <v>53748057404721</v>
      </c>
      <c r="F426" s="43" t="s">
        <v>333</v>
      </c>
      <c r="G426" s="23" t="s">
        <v>334</v>
      </c>
      <c r="H426" s="23" t="s">
        <v>305</v>
      </c>
      <c r="I426" s="161" t="s">
        <v>243</v>
      </c>
    </row>
    <row r="427" spans="1:9" x14ac:dyDescent="0.25">
      <c r="A427" s="15">
        <v>8</v>
      </c>
      <c r="B427" s="46">
        <v>0.5805555555555556</v>
      </c>
      <c r="C427" s="38">
        <v>1004</v>
      </c>
      <c r="D427" s="38" t="s">
        <v>97</v>
      </c>
      <c r="E427" s="38" t="s">
        <v>104</v>
      </c>
      <c r="F427" s="38" t="s">
        <v>282</v>
      </c>
      <c r="G427" s="5">
        <v>2</v>
      </c>
      <c r="H427" s="5" t="s">
        <v>7</v>
      </c>
      <c r="I427" s="156" t="s">
        <v>243</v>
      </c>
    </row>
    <row r="428" spans="1:9" ht="19.5" thickBot="1" x14ac:dyDescent="0.3">
      <c r="A428" s="173" t="s">
        <v>335</v>
      </c>
      <c r="B428" s="174"/>
      <c r="C428" s="174"/>
      <c r="D428" s="174"/>
      <c r="E428" s="174"/>
      <c r="F428" s="174"/>
      <c r="G428" s="174"/>
      <c r="H428" s="174"/>
      <c r="I428" s="175"/>
    </row>
    <row r="429" spans="1:9" ht="19.5" thickBot="1" x14ac:dyDescent="0.3"/>
    <row r="430" spans="1:9" x14ac:dyDescent="0.25">
      <c r="A430" s="185">
        <v>46101</v>
      </c>
      <c r="B430" s="186"/>
      <c r="C430" s="186"/>
      <c r="D430" s="186"/>
      <c r="E430" s="186"/>
      <c r="F430" s="186"/>
      <c r="G430" s="186"/>
      <c r="H430" s="186"/>
      <c r="I430" s="187"/>
    </row>
    <row r="431" spans="1:9" x14ac:dyDescent="0.25">
      <c r="A431" s="15">
        <v>1</v>
      </c>
      <c r="B431" s="46">
        <v>9.6527777777777768E-2</v>
      </c>
      <c r="C431" s="38">
        <v>1019</v>
      </c>
      <c r="D431" s="38" t="s">
        <v>97</v>
      </c>
      <c r="E431" s="38" t="s">
        <v>11</v>
      </c>
      <c r="F431" s="38" t="s">
        <v>315</v>
      </c>
      <c r="G431" s="5">
        <v>2</v>
      </c>
      <c r="H431" s="5" t="s">
        <v>7</v>
      </c>
      <c r="I431" s="156" t="s">
        <v>243</v>
      </c>
    </row>
    <row r="432" spans="1:9" x14ac:dyDescent="0.25">
      <c r="A432" s="15">
        <v>2</v>
      </c>
      <c r="B432" s="46">
        <v>0.18263888888888891</v>
      </c>
      <c r="C432" s="38">
        <v>1020</v>
      </c>
      <c r="D432" s="38" t="s">
        <v>97</v>
      </c>
      <c r="E432" s="38" t="s">
        <v>11</v>
      </c>
      <c r="F432" s="38" t="s">
        <v>315</v>
      </c>
      <c r="G432" s="5">
        <v>3</v>
      </c>
      <c r="H432" s="5" t="s">
        <v>7</v>
      </c>
      <c r="I432" s="156" t="s">
        <v>243</v>
      </c>
    </row>
    <row r="433" spans="1:9" x14ac:dyDescent="0.25">
      <c r="A433" s="15">
        <v>3</v>
      </c>
      <c r="B433" s="46">
        <v>0.32847222222222222</v>
      </c>
      <c r="C433" s="38">
        <v>1020</v>
      </c>
      <c r="D433" s="38" t="s">
        <v>97</v>
      </c>
      <c r="E433" s="38" t="s">
        <v>11</v>
      </c>
      <c r="F433" s="38" t="s">
        <v>282</v>
      </c>
      <c r="G433" s="5">
        <v>3</v>
      </c>
      <c r="H433" s="5" t="s">
        <v>7</v>
      </c>
      <c r="I433" s="156" t="s">
        <v>243</v>
      </c>
    </row>
    <row r="434" spans="1:9" x14ac:dyDescent="0.25">
      <c r="A434" s="15">
        <v>4</v>
      </c>
      <c r="B434" s="46">
        <v>0.4993055555555555</v>
      </c>
      <c r="C434" s="38">
        <v>1170</v>
      </c>
      <c r="D434" s="38" t="s">
        <v>97</v>
      </c>
      <c r="E434" s="38" t="s">
        <v>309</v>
      </c>
      <c r="F434" s="38" t="s">
        <v>297</v>
      </c>
      <c r="G434" s="5">
        <v>6</v>
      </c>
      <c r="H434" s="5" t="s">
        <v>7</v>
      </c>
      <c r="I434" s="156" t="s">
        <v>243</v>
      </c>
    </row>
    <row r="435" spans="1:9" x14ac:dyDescent="0.25">
      <c r="A435" s="22">
        <v>5</v>
      </c>
      <c r="B435" s="56">
        <v>0.50902777777777775</v>
      </c>
      <c r="C435" s="43"/>
      <c r="D435" s="43" t="s">
        <v>97</v>
      </c>
      <c r="E435" s="43" t="s">
        <v>336</v>
      </c>
      <c r="F435" s="43" t="s">
        <v>332</v>
      </c>
      <c r="G435" s="23" t="s">
        <v>317</v>
      </c>
      <c r="H435" s="170" t="s">
        <v>305</v>
      </c>
      <c r="I435" s="161" t="s">
        <v>243</v>
      </c>
    </row>
    <row r="436" spans="1:9" ht="19.5" thickBot="1" x14ac:dyDescent="0.3">
      <c r="A436" s="173" t="s">
        <v>338</v>
      </c>
      <c r="B436" s="174"/>
      <c r="C436" s="174"/>
      <c r="D436" s="174"/>
      <c r="E436" s="174"/>
      <c r="F436" s="174"/>
      <c r="G436" s="174"/>
      <c r="H436" s="174"/>
      <c r="I436" s="175"/>
    </row>
    <row r="437" spans="1:9" ht="19.5" thickBot="1" x14ac:dyDescent="0.3"/>
    <row r="438" spans="1:9" x14ac:dyDescent="0.25">
      <c r="A438" s="14">
        <v>1</v>
      </c>
      <c r="B438" s="45">
        <v>0.71527777777777779</v>
      </c>
      <c r="C438" s="37">
        <v>1475</v>
      </c>
      <c r="D438" s="37" t="s">
        <v>97</v>
      </c>
      <c r="E438" s="37" t="s">
        <v>216</v>
      </c>
      <c r="F438" s="37" t="s">
        <v>276</v>
      </c>
      <c r="G438" s="151" t="s">
        <v>340</v>
      </c>
      <c r="H438" s="151" t="s">
        <v>306</v>
      </c>
      <c r="I438" s="155" t="s">
        <v>243</v>
      </c>
    </row>
    <row r="439" spans="1:9" x14ac:dyDescent="0.25">
      <c r="A439" s="15">
        <v>2</v>
      </c>
      <c r="B439" s="46">
        <v>0.71666666666666667</v>
      </c>
      <c r="C439" s="38">
        <v>1467</v>
      </c>
      <c r="D439" s="38" t="s">
        <v>97</v>
      </c>
      <c r="E439" s="38" t="s">
        <v>244</v>
      </c>
      <c r="F439" s="38" t="s">
        <v>339</v>
      </c>
      <c r="G439" s="5" t="s">
        <v>234</v>
      </c>
      <c r="H439" s="5" t="s">
        <v>306</v>
      </c>
      <c r="I439" s="156" t="s">
        <v>243</v>
      </c>
    </row>
    <row r="440" spans="1:9" x14ac:dyDescent="0.25">
      <c r="A440" s="15">
        <v>3</v>
      </c>
      <c r="B440" s="46">
        <v>0.76041666666666663</v>
      </c>
      <c r="C440" s="38">
        <v>1524</v>
      </c>
      <c r="D440" s="38" t="s">
        <v>97</v>
      </c>
      <c r="E440" s="38" t="s">
        <v>341</v>
      </c>
      <c r="F440" s="38" t="s">
        <v>342</v>
      </c>
      <c r="G440" s="5" t="s">
        <v>287</v>
      </c>
      <c r="H440" s="5" t="s">
        <v>306</v>
      </c>
      <c r="I440" s="156" t="s">
        <v>243</v>
      </c>
    </row>
    <row r="441" spans="1:9" x14ac:dyDescent="0.25">
      <c r="A441" s="19">
        <v>4</v>
      </c>
      <c r="B441" s="53">
        <v>0.97916666666666663</v>
      </c>
      <c r="C441" s="41">
        <v>1222</v>
      </c>
      <c r="D441" s="41" t="s">
        <v>97</v>
      </c>
      <c r="E441" s="41" t="s">
        <v>257</v>
      </c>
      <c r="F441" s="41" t="s">
        <v>313</v>
      </c>
      <c r="G441" s="7" t="s">
        <v>343</v>
      </c>
      <c r="H441" s="7" t="s">
        <v>306</v>
      </c>
      <c r="I441" s="159" t="s">
        <v>258</v>
      </c>
    </row>
    <row r="442" spans="1:9" x14ac:dyDescent="0.25">
      <c r="A442" s="19">
        <v>5</v>
      </c>
      <c r="B442" s="53">
        <v>0.98888888888888893</v>
      </c>
      <c r="C442" s="41">
        <v>1222</v>
      </c>
      <c r="D442" s="41" t="s">
        <v>97</v>
      </c>
      <c r="E442" s="41" t="s">
        <v>257</v>
      </c>
      <c r="F442" s="41" t="s">
        <v>295</v>
      </c>
      <c r="G442" s="7" t="s">
        <v>344</v>
      </c>
      <c r="H442" s="7" t="s">
        <v>306</v>
      </c>
      <c r="I442" s="159" t="s">
        <v>258</v>
      </c>
    </row>
    <row r="443" spans="1:9" x14ac:dyDescent="0.25">
      <c r="A443" s="182">
        <v>46102</v>
      </c>
      <c r="B443" s="183"/>
      <c r="C443" s="183"/>
      <c r="D443" s="183"/>
      <c r="E443" s="183"/>
      <c r="F443" s="183"/>
      <c r="G443" s="183"/>
      <c r="H443" s="183"/>
      <c r="I443" s="184"/>
    </row>
    <row r="444" spans="1:9" x14ac:dyDescent="0.25">
      <c r="A444" s="15">
        <v>6</v>
      </c>
      <c r="B444" s="46">
        <v>8.7500000000000008E-2</v>
      </c>
      <c r="C444" s="38">
        <v>1020</v>
      </c>
      <c r="D444" s="38" t="s">
        <v>97</v>
      </c>
      <c r="E444" s="38" t="s">
        <v>11</v>
      </c>
      <c r="F444" s="38" t="s">
        <v>315</v>
      </c>
      <c r="G444" s="5">
        <v>3</v>
      </c>
      <c r="H444" s="5" t="s">
        <v>7</v>
      </c>
      <c r="I444" s="156" t="s">
        <v>243</v>
      </c>
    </row>
    <row r="445" spans="1:9" x14ac:dyDescent="0.25">
      <c r="A445" s="15">
        <v>7</v>
      </c>
      <c r="B445" s="46">
        <v>0.17847222222222223</v>
      </c>
      <c r="C445" s="38">
        <v>1019</v>
      </c>
      <c r="D445" s="38" t="s">
        <v>97</v>
      </c>
      <c r="E445" s="38" t="s">
        <v>11</v>
      </c>
      <c r="F445" s="38" t="s">
        <v>315</v>
      </c>
      <c r="G445" s="5">
        <v>2</v>
      </c>
      <c r="H445" s="5" t="s">
        <v>7</v>
      </c>
      <c r="I445" s="156" t="s">
        <v>243</v>
      </c>
    </row>
    <row r="446" spans="1:9" x14ac:dyDescent="0.25">
      <c r="A446" s="15">
        <v>8</v>
      </c>
      <c r="B446" s="46">
        <v>0.32916666666666666</v>
      </c>
      <c r="C446" s="38">
        <v>1170</v>
      </c>
      <c r="D446" s="38" t="s">
        <v>97</v>
      </c>
      <c r="E446" s="38" t="s">
        <v>309</v>
      </c>
      <c r="F446" s="38" t="s">
        <v>282</v>
      </c>
      <c r="G446" s="5">
        <v>2</v>
      </c>
      <c r="H446" s="5" t="s">
        <v>306</v>
      </c>
      <c r="I446" s="156" t="s">
        <v>243</v>
      </c>
    </row>
    <row r="447" spans="1:9" x14ac:dyDescent="0.25">
      <c r="A447" s="22">
        <v>9</v>
      </c>
      <c r="B447" s="56">
        <v>0.35138888888888892</v>
      </c>
      <c r="C447" s="43"/>
      <c r="D447" s="43" t="s">
        <v>97</v>
      </c>
      <c r="E447" s="43" t="s">
        <v>345</v>
      </c>
      <c r="F447" s="43" t="s">
        <v>337</v>
      </c>
      <c r="G447" s="23" t="s">
        <v>154</v>
      </c>
      <c r="H447" s="23" t="s">
        <v>305</v>
      </c>
      <c r="I447" s="161" t="s">
        <v>243</v>
      </c>
    </row>
    <row r="448" spans="1:9" x14ac:dyDescent="0.25">
      <c r="A448" s="15">
        <v>10</v>
      </c>
      <c r="B448" s="46">
        <v>0.40347222222222223</v>
      </c>
      <c r="C448" s="38">
        <v>1171</v>
      </c>
      <c r="D448" s="38" t="s">
        <v>97</v>
      </c>
      <c r="E448" s="38" t="s">
        <v>309</v>
      </c>
      <c r="F448" s="38" t="s">
        <v>282</v>
      </c>
      <c r="G448" s="5">
        <v>3</v>
      </c>
      <c r="H448" s="5" t="s">
        <v>306</v>
      </c>
      <c r="I448" s="156" t="s">
        <v>243</v>
      </c>
    </row>
    <row r="449" spans="1:9" x14ac:dyDescent="0.25">
      <c r="A449" s="15">
        <v>11</v>
      </c>
      <c r="B449" s="46">
        <v>0.42708333333333331</v>
      </c>
      <c r="C449" s="38">
        <v>1516</v>
      </c>
      <c r="D449" s="38" t="s">
        <v>97</v>
      </c>
      <c r="E449" s="38" t="s">
        <v>265</v>
      </c>
      <c r="F449" s="38" t="s">
        <v>339</v>
      </c>
      <c r="G449" s="5">
        <v>4</v>
      </c>
      <c r="H449" s="5" t="s">
        <v>306</v>
      </c>
      <c r="I449" s="156" t="s">
        <v>243</v>
      </c>
    </row>
    <row r="450" spans="1:9" ht="19.5" thickBot="1" x14ac:dyDescent="0.3">
      <c r="A450" s="173" t="s">
        <v>346</v>
      </c>
      <c r="B450" s="174"/>
      <c r="C450" s="174"/>
      <c r="D450" s="174"/>
      <c r="E450" s="174"/>
      <c r="F450" s="174"/>
      <c r="G450" s="174"/>
      <c r="H450" s="174"/>
      <c r="I450" s="175"/>
    </row>
    <row r="451" spans="1:9" ht="19.5" thickBot="1" x14ac:dyDescent="0.3"/>
    <row r="452" spans="1:9" x14ac:dyDescent="0.25">
      <c r="A452" s="185">
        <v>46103</v>
      </c>
      <c r="B452" s="186"/>
      <c r="C452" s="186"/>
      <c r="D452" s="186"/>
      <c r="E452" s="186"/>
      <c r="F452" s="186"/>
      <c r="G452" s="186"/>
      <c r="H452" s="186"/>
      <c r="I452" s="187"/>
    </row>
    <row r="453" spans="1:9" x14ac:dyDescent="0.25">
      <c r="A453" s="15">
        <v>1</v>
      </c>
      <c r="B453" s="46">
        <v>7.4999999999999997E-2</v>
      </c>
      <c r="C453" s="38">
        <v>1019</v>
      </c>
      <c r="D453" s="38" t="s">
        <v>97</v>
      </c>
      <c r="E453" s="38" t="s">
        <v>11</v>
      </c>
      <c r="F453" s="38" t="s">
        <v>315</v>
      </c>
      <c r="G453" s="5">
        <v>3</v>
      </c>
      <c r="H453" s="5" t="s">
        <v>7</v>
      </c>
      <c r="I453" s="156" t="s">
        <v>243</v>
      </c>
    </row>
    <row r="454" spans="1:9" x14ac:dyDescent="0.25">
      <c r="A454" s="15">
        <v>2</v>
      </c>
      <c r="B454" s="46">
        <v>0.18333333333333335</v>
      </c>
      <c r="C454" s="38">
        <v>1020</v>
      </c>
      <c r="D454" s="38" t="s">
        <v>97</v>
      </c>
      <c r="E454" s="38" t="s">
        <v>11</v>
      </c>
      <c r="F454" s="38" t="s">
        <v>315</v>
      </c>
      <c r="G454" s="5">
        <v>2</v>
      </c>
      <c r="H454" s="5" t="s">
        <v>7</v>
      </c>
      <c r="I454" s="156" t="s">
        <v>243</v>
      </c>
    </row>
    <row r="455" spans="1:9" x14ac:dyDescent="0.25">
      <c r="A455" s="15">
        <v>3</v>
      </c>
      <c r="B455" s="46">
        <v>0.36458333333333331</v>
      </c>
      <c r="C455" s="38">
        <v>1001</v>
      </c>
      <c r="D455" s="38" t="s">
        <v>97</v>
      </c>
      <c r="E455" s="38" t="s">
        <v>38</v>
      </c>
      <c r="F455" s="38" t="s">
        <v>295</v>
      </c>
      <c r="G455" s="5" t="s">
        <v>347</v>
      </c>
      <c r="H455" s="5" t="s">
        <v>7</v>
      </c>
      <c r="I455" s="156" t="s">
        <v>243</v>
      </c>
    </row>
    <row r="456" spans="1:9" x14ac:dyDescent="0.25">
      <c r="A456" s="15">
        <v>4</v>
      </c>
      <c r="B456" s="46">
        <v>0.3659722222222222</v>
      </c>
      <c r="C456" s="38">
        <v>1001</v>
      </c>
      <c r="D456" s="38" t="s">
        <v>97</v>
      </c>
      <c r="E456" s="38" t="s">
        <v>38</v>
      </c>
      <c r="F456" s="38" t="s">
        <v>282</v>
      </c>
      <c r="G456" s="5">
        <v>2</v>
      </c>
      <c r="H456" s="5" t="s">
        <v>7</v>
      </c>
      <c r="I456" s="156" t="s">
        <v>243</v>
      </c>
    </row>
    <row r="457" spans="1:9" x14ac:dyDescent="0.25">
      <c r="A457" s="15">
        <v>5</v>
      </c>
      <c r="B457" s="46">
        <v>0.3666666666666667</v>
      </c>
      <c r="C457" s="38">
        <v>1004</v>
      </c>
      <c r="D457" s="38" t="s">
        <v>97</v>
      </c>
      <c r="E457" s="38" t="s">
        <v>104</v>
      </c>
      <c r="F457" s="38" t="s">
        <v>342</v>
      </c>
      <c r="G457" s="5" t="s">
        <v>287</v>
      </c>
      <c r="H457" s="5" t="s">
        <v>7</v>
      </c>
      <c r="I457" s="156" t="s">
        <v>243</v>
      </c>
    </row>
    <row r="458" spans="1:9" x14ac:dyDescent="0.25">
      <c r="A458" s="15">
        <v>6</v>
      </c>
      <c r="B458" s="46">
        <v>0.36874999999999997</v>
      </c>
      <c r="C458" s="38">
        <v>981</v>
      </c>
      <c r="D458" s="38" t="s">
        <v>97</v>
      </c>
      <c r="E458" s="38" t="s">
        <v>67</v>
      </c>
      <c r="F458" s="38" t="s">
        <v>313</v>
      </c>
      <c r="G458" s="5" t="s">
        <v>234</v>
      </c>
      <c r="H458" s="5" t="s">
        <v>7</v>
      </c>
      <c r="I458" s="156" t="s">
        <v>243</v>
      </c>
    </row>
    <row r="459" spans="1:9" x14ac:dyDescent="0.25">
      <c r="A459" s="15">
        <v>7</v>
      </c>
      <c r="B459" s="46">
        <v>0.46736111111111112</v>
      </c>
      <c r="C459" s="38">
        <v>1174</v>
      </c>
      <c r="D459" s="38" t="s">
        <v>97</v>
      </c>
      <c r="E459" s="38" t="s">
        <v>307</v>
      </c>
      <c r="F459" s="38" t="s">
        <v>282</v>
      </c>
      <c r="G459" s="5">
        <v>4</v>
      </c>
      <c r="H459" s="5" t="s">
        <v>7</v>
      </c>
      <c r="I459" s="156" t="s">
        <v>243</v>
      </c>
    </row>
    <row r="460" spans="1:9" x14ac:dyDescent="0.25">
      <c r="A460" s="15">
        <v>8</v>
      </c>
      <c r="B460" s="46">
        <v>0.54513888888888895</v>
      </c>
      <c r="C460" s="38">
        <v>1214</v>
      </c>
      <c r="D460" s="38" t="s">
        <v>97</v>
      </c>
      <c r="E460" s="38" t="s">
        <v>22</v>
      </c>
      <c r="F460" s="38" t="s">
        <v>339</v>
      </c>
      <c r="G460" s="5" t="s">
        <v>348</v>
      </c>
      <c r="H460" s="5" t="s">
        <v>7</v>
      </c>
      <c r="I460" s="156" t="s">
        <v>243</v>
      </c>
    </row>
    <row r="461" spans="1:9" x14ac:dyDescent="0.25">
      <c r="A461" s="22">
        <v>9</v>
      </c>
      <c r="B461" s="56">
        <v>0.5395833333333333</v>
      </c>
      <c r="C461" s="43"/>
      <c r="D461" s="43" t="s">
        <v>97</v>
      </c>
      <c r="E461" s="57" t="s">
        <v>350</v>
      </c>
      <c r="F461" s="43" t="s">
        <v>349</v>
      </c>
      <c r="G461" s="23" t="s">
        <v>113</v>
      </c>
      <c r="H461" s="23" t="s">
        <v>305</v>
      </c>
      <c r="I461" s="161" t="s">
        <v>243</v>
      </c>
    </row>
    <row r="462" spans="1:9" x14ac:dyDescent="0.25">
      <c r="A462" s="22">
        <v>10</v>
      </c>
      <c r="B462" s="56">
        <v>0.57847222222222217</v>
      </c>
      <c r="C462" s="43"/>
      <c r="D462" s="43" t="s">
        <v>97</v>
      </c>
      <c r="E462" s="43" t="s">
        <v>351</v>
      </c>
      <c r="F462" s="43" t="s">
        <v>352</v>
      </c>
      <c r="G462" s="23" t="s">
        <v>113</v>
      </c>
      <c r="H462" s="23" t="s">
        <v>305</v>
      </c>
      <c r="I462" s="161" t="s">
        <v>243</v>
      </c>
    </row>
    <row r="463" spans="1:9" x14ac:dyDescent="0.25">
      <c r="A463" s="15">
        <v>11</v>
      </c>
      <c r="B463" s="46">
        <v>0.58750000000000002</v>
      </c>
      <c r="C463" s="38">
        <v>1169</v>
      </c>
      <c r="D463" s="38" t="s">
        <v>97</v>
      </c>
      <c r="E463" s="38" t="s">
        <v>309</v>
      </c>
      <c r="F463" s="38" t="s">
        <v>282</v>
      </c>
      <c r="G463" s="5">
        <v>5</v>
      </c>
      <c r="H463" s="5" t="s">
        <v>7</v>
      </c>
      <c r="I463" s="156" t="s">
        <v>243</v>
      </c>
    </row>
    <row r="464" spans="1:9" ht="19.5" thickBot="1" x14ac:dyDescent="0.3">
      <c r="A464" s="173" t="s">
        <v>353</v>
      </c>
      <c r="B464" s="174"/>
      <c r="C464" s="174"/>
      <c r="D464" s="174"/>
      <c r="E464" s="174"/>
      <c r="F464" s="174"/>
      <c r="G464" s="174"/>
      <c r="H464" s="174"/>
      <c r="I464" s="175"/>
    </row>
    <row r="465" spans="1:9" ht="19.5" thickBot="1" x14ac:dyDescent="0.3"/>
    <row r="466" spans="1:9" x14ac:dyDescent="0.25">
      <c r="A466" s="14">
        <v>1</v>
      </c>
      <c r="B466" s="45">
        <v>0.73333333333333339</v>
      </c>
      <c r="C466" s="37">
        <v>1472</v>
      </c>
      <c r="D466" s="37" t="s">
        <v>97</v>
      </c>
      <c r="E466" s="37" t="s">
        <v>354</v>
      </c>
      <c r="F466" s="37" t="s">
        <v>276</v>
      </c>
      <c r="G466" s="151" t="s">
        <v>355</v>
      </c>
      <c r="H466" s="151" t="s">
        <v>356</v>
      </c>
      <c r="I466" s="155" t="s">
        <v>357</v>
      </c>
    </row>
    <row r="467" spans="1:9" x14ac:dyDescent="0.25">
      <c r="A467" s="15">
        <v>2</v>
      </c>
      <c r="B467" s="46">
        <v>0.79722222222222217</v>
      </c>
      <c r="C467" s="38">
        <v>1171</v>
      </c>
      <c r="D467" s="38" t="s">
        <v>97</v>
      </c>
      <c r="E467" s="38" t="s">
        <v>309</v>
      </c>
      <c r="F467" s="38" t="s">
        <v>282</v>
      </c>
      <c r="G467" s="5">
        <v>2</v>
      </c>
      <c r="H467" s="5" t="s">
        <v>7</v>
      </c>
      <c r="I467" s="156" t="s">
        <v>243</v>
      </c>
    </row>
    <row r="468" spans="1:9" x14ac:dyDescent="0.25">
      <c r="A468" s="15">
        <v>3</v>
      </c>
      <c r="B468" s="46">
        <v>0.98333333333333339</v>
      </c>
      <c r="C468" s="38">
        <v>1026</v>
      </c>
      <c r="D468" s="38" t="s">
        <v>97</v>
      </c>
      <c r="E468" s="38" t="s">
        <v>15</v>
      </c>
      <c r="F468" s="38" t="s">
        <v>315</v>
      </c>
      <c r="G468" s="5">
        <v>8</v>
      </c>
      <c r="H468" s="5" t="s">
        <v>7</v>
      </c>
      <c r="I468" s="156" t="s">
        <v>243</v>
      </c>
    </row>
    <row r="469" spans="1:9" x14ac:dyDescent="0.25">
      <c r="A469" s="182">
        <v>46104</v>
      </c>
      <c r="B469" s="183"/>
      <c r="C469" s="183"/>
      <c r="D469" s="183"/>
      <c r="E469" s="183"/>
      <c r="F469" s="183"/>
      <c r="G469" s="183"/>
      <c r="H469" s="183"/>
      <c r="I469" s="184"/>
    </row>
    <row r="470" spans="1:9" x14ac:dyDescent="0.25">
      <c r="A470" s="15">
        <v>4</v>
      </c>
      <c r="B470" s="46">
        <v>0.12430555555555556</v>
      </c>
      <c r="C470" s="38">
        <v>1019</v>
      </c>
      <c r="D470" s="38" t="s">
        <v>97</v>
      </c>
      <c r="E470" s="38" t="s">
        <v>11</v>
      </c>
      <c r="F470" s="38" t="s">
        <v>315</v>
      </c>
      <c r="G470" s="5">
        <v>2</v>
      </c>
      <c r="H470" s="5" t="s">
        <v>7</v>
      </c>
      <c r="I470" s="156" t="s">
        <v>243</v>
      </c>
    </row>
    <row r="471" spans="1:9" x14ac:dyDescent="0.25">
      <c r="A471" s="15">
        <v>5</v>
      </c>
      <c r="B471" s="46">
        <v>0.21527777777777779</v>
      </c>
      <c r="C471" s="38">
        <v>990</v>
      </c>
      <c r="D471" s="38" t="s">
        <v>97</v>
      </c>
      <c r="E471" s="38" t="s">
        <v>67</v>
      </c>
      <c r="F471" s="38" t="s">
        <v>147</v>
      </c>
      <c r="G471" s="5" t="s">
        <v>368</v>
      </c>
      <c r="H471" s="5" t="s">
        <v>306</v>
      </c>
      <c r="I471" s="156" t="s">
        <v>243</v>
      </c>
    </row>
    <row r="472" spans="1:9" x14ac:dyDescent="0.25">
      <c r="A472" s="15">
        <v>6</v>
      </c>
      <c r="B472" s="46">
        <v>0.38680555555555557</v>
      </c>
      <c r="C472" s="38" t="s">
        <v>369</v>
      </c>
      <c r="D472" s="38" t="s">
        <v>97</v>
      </c>
      <c r="E472" s="38" t="s">
        <v>307</v>
      </c>
      <c r="F472" s="38" t="s">
        <v>295</v>
      </c>
      <c r="G472" s="5">
        <v>4</v>
      </c>
      <c r="H472" s="5" t="s">
        <v>7</v>
      </c>
      <c r="I472" s="156" t="s">
        <v>243</v>
      </c>
    </row>
    <row r="473" spans="1:9" x14ac:dyDescent="0.25">
      <c r="A473" s="15">
        <v>7</v>
      </c>
      <c r="B473" s="46">
        <v>0.43402777777777773</v>
      </c>
      <c r="C473" s="38">
        <v>1169</v>
      </c>
      <c r="D473" s="38" t="s">
        <v>97</v>
      </c>
      <c r="E473" s="38" t="s">
        <v>309</v>
      </c>
      <c r="F473" s="38" t="s">
        <v>282</v>
      </c>
      <c r="G473" s="5">
        <v>3</v>
      </c>
      <c r="H473" s="5" t="s">
        <v>7</v>
      </c>
      <c r="I473" s="156" t="s">
        <v>243</v>
      </c>
    </row>
    <row r="474" spans="1:9" x14ac:dyDescent="0.25">
      <c r="A474" s="22">
        <v>8</v>
      </c>
      <c r="B474" s="56">
        <v>0.43472222222222223</v>
      </c>
      <c r="C474" s="43"/>
      <c r="D474" s="43" t="s">
        <v>97</v>
      </c>
      <c r="E474" s="43" t="s">
        <v>370</v>
      </c>
      <c r="F474" s="43" t="s">
        <v>349</v>
      </c>
      <c r="G474" s="23" t="s">
        <v>317</v>
      </c>
      <c r="H474" s="23" t="s">
        <v>305</v>
      </c>
      <c r="I474" s="161" t="s">
        <v>243</v>
      </c>
    </row>
    <row r="475" spans="1:9" x14ac:dyDescent="0.25">
      <c r="A475" s="15">
        <v>9</v>
      </c>
      <c r="B475" s="46">
        <v>0.38472222222222219</v>
      </c>
      <c r="C475" s="38">
        <v>3889</v>
      </c>
      <c r="D475" s="38" t="s">
        <v>97</v>
      </c>
      <c r="E475" s="38" t="s">
        <v>307</v>
      </c>
      <c r="F475" s="38" t="s">
        <v>295</v>
      </c>
      <c r="G475" s="5" t="s">
        <v>371</v>
      </c>
      <c r="H475" s="5" t="s">
        <v>7</v>
      </c>
      <c r="I475" s="157" t="s">
        <v>258</v>
      </c>
    </row>
    <row r="476" spans="1:9" x14ac:dyDescent="0.25">
      <c r="A476" s="15">
        <v>10</v>
      </c>
      <c r="B476" s="46">
        <v>0.47500000000000003</v>
      </c>
      <c r="C476" s="38">
        <v>1496</v>
      </c>
      <c r="D476" s="38" t="s">
        <v>97</v>
      </c>
      <c r="E476" s="38" t="s">
        <v>372</v>
      </c>
      <c r="F476" s="38" t="s">
        <v>373</v>
      </c>
      <c r="G476" s="5" t="s">
        <v>374</v>
      </c>
      <c r="H476" s="5" t="s">
        <v>7</v>
      </c>
      <c r="I476" s="157" t="s">
        <v>258</v>
      </c>
    </row>
    <row r="477" spans="1:9" x14ac:dyDescent="0.25">
      <c r="A477" s="15">
        <v>11</v>
      </c>
      <c r="B477" s="46">
        <v>0.5180555555555556</v>
      </c>
      <c r="C477" s="38">
        <v>1101</v>
      </c>
      <c r="D477" s="38" t="s">
        <v>97</v>
      </c>
      <c r="E477" s="38" t="s">
        <v>228</v>
      </c>
      <c r="F477" s="38" t="s">
        <v>375</v>
      </c>
      <c r="G477" s="5" t="s">
        <v>371</v>
      </c>
      <c r="H477" s="5" t="s">
        <v>7</v>
      </c>
      <c r="I477" s="157" t="s">
        <v>258</v>
      </c>
    </row>
    <row r="478" spans="1:9" x14ac:dyDescent="0.25">
      <c r="A478" s="15">
        <v>12</v>
      </c>
      <c r="B478" s="46">
        <v>0.56388888888888888</v>
      </c>
      <c r="C478" s="38">
        <v>1169</v>
      </c>
      <c r="D478" s="38" t="s">
        <v>97</v>
      </c>
      <c r="E478" s="38" t="s">
        <v>309</v>
      </c>
      <c r="F478" s="38" t="s">
        <v>282</v>
      </c>
      <c r="G478" s="5">
        <v>2</v>
      </c>
      <c r="H478" s="5" t="s">
        <v>7</v>
      </c>
      <c r="I478" s="156" t="s">
        <v>243</v>
      </c>
    </row>
    <row r="479" spans="1:9" x14ac:dyDescent="0.25">
      <c r="A479" s="15">
        <v>13</v>
      </c>
      <c r="B479" s="46">
        <v>0.58263888888888882</v>
      </c>
      <c r="C479" s="38" t="s">
        <v>376</v>
      </c>
      <c r="D479" s="38" t="s">
        <v>97</v>
      </c>
      <c r="E479" s="38" t="s">
        <v>309</v>
      </c>
      <c r="F479" s="38" t="s">
        <v>313</v>
      </c>
      <c r="G479" s="5">
        <v>1</v>
      </c>
      <c r="H479" s="5" t="s">
        <v>7</v>
      </c>
      <c r="I479" s="156" t="s">
        <v>243</v>
      </c>
    </row>
    <row r="480" spans="1:9" x14ac:dyDescent="0.25">
      <c r="A480" s="15">
        <v>14</v>
      </c>
      <c r="B480" s="46">
        <v>0.59444444444444444</v>
      </c>
      <c r="C480" s="38">
        <v>1135</v>
      </c>
      <c r="D480" s="38" t="s">
        <v>97</v>
      </c>
      <c r="E480" s="38" t="s">
        <v>377</v>
      </c>
      <c r="F480" s="38" t="s">
        <v>286</v>
      </c>
      <c r="G480" s="5">
        <v>4</v>
      </c>
      <c r="H480" s="5" t="s">
        <v>7</v>
      </c>
      <c r="I480" s="156" t="s">
        <v>243</v>
      </c>
    </row>
    <row r="481" spans="1:9" ht="19.5" thickBot="1" x14ac:dyDescent="0.3">
      <c r="A481" s="173" t="s">
        <v>378</v>
      </c>
      <c r="B481" s="174"/>
      <c r="C481" s="174"/>
      <c r="D481" s="174"/>
      <c r="E481" s="174"/>
      <c r="F481" s="174"/>
      <c r="G481" s="174"/>
      <c r="H481" s="174"/>
      <c r="I481" s="175"/>
    </row>
    <row r="482" spans="1:9" ht="19.5" thickBot="1" x14ac:dyDescent="0.3"/>
    <row r="483" spans="1:9" x14ac:dyDescent="0.25">
      <c r="A483" s="14">
        <v>1</v>
      </c>
      <c r="B483" s="45">
        <v>0.72361111111111109</v>
      </c>
      <c r="C483" s="37" t="s">
        <v>379</v>
      </c>
      <c r="D483" s="37" t="s">
        <v>97</v>
      </c>
      <c r="E483" s="37" t="s">
        <v>341</v>
      </c>
      <c r="F483" s="37" t="s">
        <v>380</v>
      </c>
      <c r="G483" s="151">
        <v>1</v>
      </c>
      <c r="H483" s="151" t="s">
        <v>306</v>
      </c>
      <c r="I483" s="155" t="s">
        <v>357</v>
      </c>
    </row>
    <row r="484" spans="1:9" x14ac:dyDescent="0.25">
      <c r="A484" s="15">
        <v>2</v>
      </c>
      <c r="B484" s="46">
        <v>0.78263888888888899</v>
      </c>
      <c r="C484" s="38">
        <v>1173</v>
      </c>
      <c r="D484" s="38" t="s">
        <v>97</v>
      </c>
      <c r="E484" s="38" t="s">
        <v>307</v>
      </c>
      <c r="F484" s="38" t="s">
        <v>282</v>
      </c>
      <c r="G484" s="5">
        <v>2</v>
      </c>
      <c r="H484" s="5" t="s">
        <v>306</v>
      </c>
      <c r="I484" s="156" t="s">
        <v>357</v>
      </c>
    </row>
    <row r="485" spans="1:9" x14ac:dyDescent="0.25">
      <c r="A485" s="15">
        <v>3</v>
      </c>
      <c r="B485" s="46">
        <v>0.7944444444444444</v>
      </c>
      <c r="C485" s="38" t="s">
        <v>376</v>
      </c>
      <c r="D485" s="38" t="s">
        <v>97</v>
      </c>
      <c r="E485" s="38" t="s">
        <v>309</v>
      </c>
      <c r="F485" s="38" t="s">
        <v>381</v>
      </c>
      <c r="G485" s="5">
        <v>1</v>
      </c>
      <c r="H485" s="5" t="s">
        <v>306</v>
      </c>
      <c r="I485" s="156" t="s">
        <v>243</v>
      </c>
    </row>
    <row r="486" spans="1:9" x14ac:dyDescent="0.25">
      <c r="A486" s="182">
        <v>46105</v>
      </c>
      <c r="B486" s="183"/>
      <c r="C486" s="183"/>
      <c r="D486" s="183"/>
      <c r="E486" s="183"/>
      <c r="F486" s="183"/>
      <c r="G486" s="183"/>
      <c r="H486" s="183"/>
      <c r="I486" s="184"/>
    </row>
    <row r="487" spans="1:9" x14ac:dyDescent="0.25">
      <c r="A487" s="15">
        <v>4</v>
      </c>
      <c r="B487" s="46">
        <v>7.7083333333333337E-2</v>
      </c>
      <c r="C487" s="38">
        <v>1020</v>
      </c>
      <c r="D487" s="38" t="s">
        <v>97</v>
      </c>
      <c r="E487" s="38" t="s">
        <v>11</v>
      </c>
      <c r="F487" s="38" t="s">
        <v>315</v>
      </c>
      <c r="G487" s="5">
        <v>2</v>
      </c>
      <c r="H487" s="5" t="s">
        <v>7</v>
      </c>
      <c r="I487" s="156" t="s">
        <v>243</v>
      </c>
    </row>
    <row r="488" spans="1:9" x14ac:dyDescent="0.25">
      <c r="A488" s="15">
        <v>5</v>
      </c>
      <c r="B488" s="46">
        <v>0.17847222222222223</v>
      </c>
      <c r="C488" s="38">
        <v>1019</v>
      </c>
      <c r="D488" s="38" t="s">
        <v>97</v>
      </c>
      <c r="E488" s="38" t="s">
        <v>11</v>
      </c>
      <c r="F488" s="38" t="s">
        <v>315</v>
      </c>
      <c r="G488" s="5">
        <v>2</v>
      </c>
      <c r="H488" s="5" t="s">
        <v>7</v>
      </c>
      <c r="I488" s="156" t="s">
        <v>243</v>
      </c>
    </row>
    <row r="489" spans="1:9" x14ac:dyDescent="0.25">
      <c r="A489" s="15">
        <v>6</v>
      </c>
      <c r="B489" s="46">
        <v>0.20833333333333334</v>
      </c>
      <c r="C489" s="38">
        <v>1223</v>
      </c>
      <c r="D489" s="38" t="s">
        <v>97</v>
      </c>
      <c r="E489" s="38" t="s">
        <v>257</v>
      </c>
      <c r="F489" s="38" t="s">
        <v>147</v>
      </c>
      <c r="G489" s="5">
        <v>14</v>
      </c>
      <c r="H489" s="5" t="s">
        <v>306</v>
      </c>
      <c r="I489" s="156" t="s">
        <v>243</v>
      </c>
    </row>
    <row r="490" spans="1:9" x14ac:dyDescent="0.25">
      <c r="A490" s="15">
        <v>7</v>
      </c>
      <c r="B490" s="46">
        <v>0.3743055555555555</v>
      </c>
      <c r="C490" s="38">
        <v>664</v>
      </c>
      <c r="D490" s="38" t="s">
        <v>97</v>
      </c>
      <c r="E490" s="38" t="s">
        <v>27</v>
      </c>
      <c r="F490" s="38" t="s">
        <v>289</v>
      </c>
      <c r="G490" s="5" t="s">
        <v>382</v>
      </c>
      <c r="H490" s="5" t="s">
        <v>306</v>
      </c>
      <c r="I490" s="157" t="s">
        <v>383</v>
      </c>
    </row>
    <row r="491" spans="1:9" x14ac:dyDescent="0.25">
      <c r="A491" s="22">
        <v>8</v>
      </c>
      <c r="B491" s="56">
        <v>0.39444444444444443</v>
      </c>
      <c r="C491" s="43"/>
      <c r="D491" s="43" t="s">
        <v>221</v>
      </c>
      <c r="E491" s="43" t="s">
        <v>384</v>
      </c>
      <c r="F491" s="43" t="s">
        <v>385</v>
      </c>
      <c r="G491" s="23" t="s">
        <v>234</v>
      </c>
      <c r="H491" s="23" t="s">
        <v>284</v>
      </c>
      <c r="I491" s="161" t="s">
        <v>357</v>
      </c>
    </row>
    <row r="492" spans="1:9" x14ac:dyDescent="0.25">
      <c r="A492" s="15">
        <v>9</v>
      </c>
      <c r="B492" s="46">
        <v>0.46527777777777773</v>
      </c>
      <c r="C492" s="38">
        <v>1173</v>
      </c>
      <c r="D492" s="38" t="s">
        <v>97</v>
      </c>
      <c r="E492" s="38" t="s">
        <v>307</v>
      </c>
      <c r="F492" s="38" t="s">
        <v>282</v>
      </c>
      <c r="G492" s="5">
        <v>2</v>
      </c>
      <c r="H492" s="5" t="s">
        <v>306</v>
      </c>
      <c r="I492" s="156" t="s">
        <v>357</v>
      </c>
    </row>
    <row r="493" spans="1:9" x14ac:dyDescent="0.25">
      <c r="A493" s="15">
        <v>10</v>
      </c>
      <c r="B493" s="46">
        <v>0.4680555555555555</v>
      </c>
      <c r="C493" s="38">
        <v>1168</v>
      </c>
      <c r="D493" s="38" t="s">
        <v>97</v>
      </c>
      <c r="E493" s="38" t="s">
        <v>386</v>
      </c>
      <c r="F493" s="38" t="s">
        <v>313</v>
      </c>
      <c r="G493" s="5" t="s">
        <v>277</v>
      </c>
      <c r="H493" s="5" t="s">
        <v>306</v>
      </c>
      <c r="I493" s="156" t="s">
        <v>383</v>
      </c>
    </row>
    <row r="494" spans="1:9" x14ac:dyDescent="0.25">
      <c r="A494" s="15">
        <v>11</v>
      </c>
      <c r="B494" s="46">
        <v>0.4826388888888889</v>
      </c>
      <c r="C494" s="38">
        <v>1168</v>
      </c>
      <c r="D494" s="38" t="s">
        <v>97</v>
      </c>
      <c r="E494" s="38" t="s">
        <v>386</v>
      </c>
      <c r="F494" s="38" t="s">
        <v>282</v>
      </c>
      <c r="G494" s="5">
        <v>2</v>
      </c>
      <c r="H494" s="5" t="s">
        <v>306</v>
      </c>
      <c r="I494" s="156" t="s">
        <v>357</v>
      </c>
    </row>
    <row r="495" spans="1:9" x14ac:dyDescent="0.25">
      <c r="A495" s="15">
        <v>12</v>
      </c>
      <c r="B495" s="46">
        <v>0.62708333333333333</v>
      </c>
      <c r="C495" s="38">
        <v>444</v>
      </c>
      <c r="D495" s="38" t="s">
        <v>97</v>
      </c>
      <c r="E495" s="38" t="s">
        <v>387</v>
      </c>
      <c r="F495" s="38" t="s">
        <v>315</v>
      </c>
      <c r="G495" s="5">
        <v>10</v>
      </c>
      <c r="H495" s="5" t="s">
        <v>306</v>
      </c>
      <c r="I495" s="156" t="s">
        <v>357</v>
      </c>
    </row>
    <row r="496" spans="1:9" x14ac:dyDescent="0.25">
      <c r="A496" s="15">
        <v>13</v>
      </c>
      <c r="B496" s="46">
        <v>0.60416666666666663</v>
      </c>
      <c r="C496" s="38">
        <v>462</v>
      </c>
      <c r="D496" s="38" t="s">
        <v>388</v>
      </c>
      <c r="E496" s="38">
        <v>7306</v>
      </c>
      <c r="F496" s="38" t="s">
        <v>337</v>
      </c>
      <c r="G496" s="5" t="s">
        <v>389</v>
      </c>
      <c r="H496" s="5" t="s">
        <v>294</v>
      </c>
      <c r="I496" s="156" t="s">
        <v>357</v>
      </c>
    </row>
    <row r="497" spans="1:11" x14ac:dyDescent="0.25">
      <c r="A497" s="15">
        <v>14</v>
      </c>
      <c r="B497" s="46">
        <v>0.61111111111111105</v>
      </c>
      <c r="C497" s="38"/>
      <c r="D497" s="38" t="s">
        <v>97</v>
      </c>
      <c r="E497" s="38" t="s">
        <v>390</v>
      </c>
      <c r="F497" s="38" t="s">
        <v>337</v>
      </c>
      <c r="G497" s="5" t="s">
        <v>391</v>
      </c>
      <c r="H497" s="5" t="s">
        <v>306</v>
      </c>
      <c r="I497" s="157" t="s">
        <v>383</v>
      </c>
    </row>
    <row r="498" spans="1:11" ht="19.5" thickBot="1" x14ac:dyDescent="0.3">
      <c r="A498" s="173" t="s">
        <v>392</v>
      </c>
      <c r="B498" s="174"/>
      <c r="C498" s="174"/>
      <c r="D498" s="174"/>
      <c r="E498" s="174"/>
      <c r="F498" s="174"/>
      <c r="G498" s="174"/>
      <c r="H498" s="174"/>
      <c r="I498" s="175"/>
    </row>
    <row r="499" spans="1:11" ht="19.5" thickBot="1" x14ac:dyDescent="0.3"/>
    <row r="500" spans="1:11" x14ac:dyDescent="0.25">
      <c r="A500" s="87">
        <v>1</v>
      </c>
      <c r="B500" s="88">
        <v>0.91875000000000007</v>
      </c>
      <c r="C500" s="89">
        <v>1250</v>
      </c>
      <c r="D500" s="89" t="s">
        <v>97</v>
      </c>
      <c r="E500" s="89" t="s">
        <v>394</v>
      </c>
      <c r="F500" s="89" t="s">
        <v>147</v>
      </c>
      <c r="G500" s="90" t="s">
        <v>368</v>
      </c>
      <c r="H500" s="90" t="s">
        <v>305</v>
      </c>
      <c r="I500" s="168" t="s">
        <v>243</v>
      </c>
      <c r="J500" s="198" t="s">
        <v>398</v>
      </c>
      <c r="K500" s="198"/>
    </row>
    <row r="501" spans="1:11" x14ac:dyDescent="0.25">
      <c r="A501" s="182">
        <v>46106</v>
      </c>
      <c r="B501" s="183"/>
      <c r="C501" s="183"/>
      <c r="D501" s="183"/>
      <c r="E501" s="183"/>
      <c r="F501" s="183"/>
      <c r="G501" s="183"/>
      <c r="H501" s="183"/>
      <c r="I501" s="184"/>
    </row>
    <row r="502" spans="1:11" x14ac:dyDescent="0.25">
      <c r="A502" s="15">
        <v>2</v>
      </c>
      <c r="B502" s="46">
        <v>0.30416666666666664</v>
      </c>
      <c r="C502" s="38">
        <v>1039</v>
      </c>
      <c r="D502" s="38" t="s">
        <v>97</v>
      </c>
      <c r="E502" s="38" t="s">
        <v>188</v>
      </c>
      <c r="F502" s="38" t="s">
        <v>315</v>
      </c>
      <c r="G502" s="5">
        <v>3</v>
      </c>
      <c r="H502" s="5" t="s">
        <v>395</v>
      </c>
      <c r="I502" s="156" t="s">
        <v>357</v>
      </c>
    </row>
    <row r="503" spans="1:11" x14ac:dyDescent="0.25">
      <c r="A503" s="15">
        <v>3</v>
      </c>
      <c r="B503" s="46">
        <v>0.39097222222222222</v>
      </c>
      <c r="C503" s="38">
        <v>1166</v>
      </c>
      <c r="D503" s="38" t="s">
        <v>97</v>
      </c>
      <c r="E503" s="38" t="s">
        <v>309</v>
      </c>
      <c r="F503" s="38" t="s">
        <v>339</v>
      </c>
      <c r="G503" s="5" t="s">
        <v>396</v>
      </c>
      <c r="H503" s="5" t="s">
        <v>395</v>
      </c>
      <c r="I503" s="156" t="s">
        <v>357</v>
      </c>
    </row>
    <row r="504" spans="1:11" x14ac:dyDescent="0.25">
      <c r="A504" s="22">
        <v>4</v>
      </c>
      <c r="B504" s="56">
        <v>0.4604166666666667</v>
      </c>
      <c r="C504" s="43"/>
      <c r="D504" s="43" t="s">
        <v>97</v>
      </c>
      <c r="E504" s="43" t="s">
        <v>397</v>
      </c>
      <c r="F504" s="43" t="s">
        <v>349</v>
      </c>
      <c r="G504" s="23" t="s">
        <v>136</v>
      </c>
      <c r="H504" s="23" t="s">
        <v>305</v>
      </c>
      <c r="I504" s="161" t="s">
        <v>357</v>
      </c>
    </row>
    <row r="505" spans="1:11" x14ac:dyDescent="0.25">
      <c r="A505" s="15">
        <v>5</v>
      </c>
      <c r="B505" s="46">
        <v>0.48680555555555555</v>
      </c>
      <c r="C505" s="38">
        <v>1039</v>
      </c>
      <c r="D505" s="38" t="s">
        <v>97</v>
      </c>
      <c r="E505" s="38" t="s">
        <v>188</v>
      </c>
      <c r="F505" s="38" t="s">
        <v>295</v>
      </c>
      <c r="G505" s="5" t="s">
        <v>242</v>
      </c>
      <c r="H505" s="5" t="s">
        <v>395</v>
      </c>
      <c r="I505" s="157" t="s">
        <v>258</v>
      </c>
    </row>
    <row r="506" spans="1:11" x14ac:dyDescent="0.25">
      <c r="A506" s="15">
        <v>6</v>
      </c>
      <c r="B506" s="46">
        <v>0.53472222222222221</v>
      </c>
      <c r="C506" s="38">
        <v>1184</v>
      </c>
      <c r="D506" s="38" t="s">
        <v>97</v>
      </c>
      <c r="E506" s="38" t="s">
        <v>307</v>
      </c>
      <c r="F506" s="38" t="s">
        <v>399</v>
      </c>
      <c r="G506" s="5" t="s">
        <v>400</v>
      </c>
      <c r="H506" s="5" t="s">
        <v>395</v>
      </c>
      <c r="I506" s="157" t="s">
        <v>258</v>
      </c>
    </row>
    <row r="507" spans="1:11" x14ac:dyDescent="0.25">
      <c r="A507" s="15">
        <v>7</v>
      </c>
      <c r="B507" s="46">
        <v>0.53611111111111109</v>
      </c>
      <c r="C507" s="38">
        <v>1533</v>
      </c>
      <c r="D507" s="38" t="s">
        <v>97</v>
      </c>
      <c r="E507" s="38" t="s">
        <v>397</v>
      </c>
      <c r="F507" s="38" t="s">
        <v>339</v>
      </c>
      <c r="G507" s="5" t="s">
        <v>119</v>
      </c>
      <c r="H507" s="5" t="s">
        <v>395</v>
      </c>
      <c r="I507" s="157" t="s">
        <v>258</v>
      </c>
    </row>
    <row r="508" spans="1:11" x14ac:dyDescent="0.25">
      <c r="A508" s="15">
        <v>8</v>
      </c>
      <c r="B508" s="46">
        <v>0.5444444444444444</v>
      </c>
      <c r="C508" s="38">
        <v>1173</v>
      </c>
      <c r="D508" s="38" t="s">
        <v>97</v>
      </c>
      <c r="E508" s="38" t="s">
        <v>307</v>
      </c>
      <c r="F508" s="38" t="s">
        <v>401</v>
      </c>
      <c r="G508" s="5">
        <v>3</v>
      </c>
      <c r="H508" s="5" t="s">
        <v>395</v>
      </c>
      <c r="I508" s="156" t="s">
        <v>357</v>
      </c>
    </row>
    <row r="509" spans="1:11" ht="19.5" thickBot="1" x14ac:dyDescent="0.3">
      <c r="A509" s="173" t="s">
        <v>402</v>
      </c>
      <c r="B509" s="174"/>
      <c r="C509" s="174"/>
      <c r="D509" s="174"/>
      <c r="E509" s="174"/>
      <c r="F509" s="174"/>
      <c r="G509" s="174"/>
      <c r="H509" s="174"/>
      <c r="I509" s="175"/>
    </row>
    <row r="510" spans="1:11" ht="19.5" thickBot="1" x14ac:dyDescent="0.3"/>
    <row r="511" spans="1:11" x14ac:dyDescent="0.25">
      <c r="A511" s="14">
        <v>1</v>
      </c>
      <c r="B511" s="45">
        <v>0.77083333333333337</v>
      </c>
      <c r="C511" s="37">
        <v>1173</v>
      </c>
      <c r="D511" s="37" t="s">
        <v>97</v>
      </c>
      <c r="E511" s="37" t="s">
        <v>307</v>
      </c>
      <c r="F511" s="37" t="s">
        <v>282</v>
      </c>
      <c r="G511" s="151">
        <v>2</v>
      </c>
      <c r="H511" s="151" t="s">
        <v>306</v>
      </c>
      <c r="I511" s="155" t="s">
        <v>357</v>
      </c>
    </row>
    <row r="512" spans="1:11" x14ac:dyDescent="0.25">
      <c r="A512" s="15">
        <v>2</v>
      </c>
      <c r="B512" s="46">
        <v>0.79513888888888884</v>
      </c>
      <c r="C512" s="38">
        <v>1173</v>
      </c>
      <c r="D512" s="38" t="s">
        <v>97</v>
      </c>
      <c r="E512" s="38" t="s">
        <v>307</v>
      </c>
      <c r="F512" s="38" t="s">
        <v>282</v>
      </c>
      <c r="G512" s="5">
        <v>3</v>
      </c>
      <c r="H512" s="5" t="s">
        <v>306</v>
      </c>
      <c r="I512" s="156" t="s">
        <v>357</v>
      </c>
    </row>
    <row r="513" spans="1:9" x14ac:dyDescent="0.25">
      <c r="A513" s="182">
        <v>46107</v>
      </c>
      <c r="B513" s="183"/>
      <c r="C513" s="183"/>
      <c r="D513" s="183"/>
      <c r="E513" s="183"/>
      <c r="F513" s="183"/>
      <c r="G513" s="183"/>
      <c r="H513" s="183"/>
      <c r="I513" s="184"/>
    </row>
    <row r="514" spans="1:9" x14ac:dyDescent="0.25">
      <c r="A514" s="15">
        <v>3</v>
      </c>
      <c r="B514" s="46">
        <v>0.22013888888888888</v>
      </c>
      <c r="C514" s="38">
        <v>1223</v>
      </c>
      <c r="D514" s="38" t="s">
        <v>97</v>
      </c>
      <c r="E514" s="38" t="s">
        <v>257</v>
      </c>
      <c r="F514" s="38" t="s">
        <v>147</v>
      </c>
      <c r="G514" s="5">
        <v>14</v>
      </c>
      <c r="H514" s="5" t="s">
        <v>306</v>
      </c>
      <c r="I514" s="156" t="s">
        <v>243</v>
      </c>
    </row>
    <row r="515" spans="1:9" x14ac:dyDescent="0.25">
      <c r="A515" s="15">
        <v>4</v>
      </c>
      <c r="B515" s="46">
        <v>0.44375000000000003</v>
      </c>
      <c r="C515" s="38">
        <v>1174</v>
      </c>
      <c r="D515" s="38" t="s">
        <v>97</v>
      </c>
      <c r="E515" s="38" t="s">
        <v>307</v>
      </c>
      <c r="F515" s="38" t="s">
        <v>282</v>
      </c>
      <c r="G515" s="5">
        <v>2</v>
      </c>
      <c r="H515" s="5" t="s">
        <v>306</v>
      </c>
      <c r="I515" s="156" t="s">
        <v>243</v>
      </c>
    </row>
    <row r="516" spans="1:9" x14ac:dyDescent="0.25">
      <c r="A516" s="22">
        <v>5</v>
      </c>
      <c r="B516" s="56">
        <v>0.49722222222222223</v>
      </c>
      <c r="C516" s="43"/>
      <c r="D516" s="43" t="s">
        <v>97</v>
      </c>
      <c r="E516" s="43" t="s">
        <v>11</v>
      </c>
      <c r="F516" s="43" t="s">
        <v>385</v>
      </c>
      <c r="G516" s="23" t="s">
        <v>249</v>
      </c>
      <c r="H516" s="23" t="s">
        <v>305</v>
      </c>
      <c r="I516" s="161" t="s">
        <v>243</v>
      </c>
    </row>
    <row r="517" spans="1:9" ht="19.5" thickBot="1" x14ac:dyDescent="0.3">
      <c r="A517" s="173" t="s">
        <v>403</v>
      </c>
      <c r="B517" s="174"/>
      <c r="C517" s="174"/>
      <c r="D517" s="174"/>
      <c r="E517" s="174"/>
      <c r="F517" s="174"/>
      <c r="G517" s="174"/>
      <c r="H517" s="174"/>
      <c r="I517" s="175"/>
    </row>
    <row r="518" spans="1:9" ht="19.5" thickBot="1" x14ac:dyDescent="0.3"/>
    <row r="519" spans="1:9" x14ac:dyDescent="0.25">
      <c r="A519" s="87">
        <v>1</v>
      </c>
      <c r="B519" s="88">
        <v>0.67013888888888884</v>
      </c>
      <c r="C519" s="89" t="s">
        <v>404</v>
      </c>
      <c r="D519" s="89" t="s">
        <v>97</v>
      </c>
      <c r="E519" s="89" t="s">
        <v>405</v>
      </c>
      <c r="F519" s="89" t="s">
        <v>406</v>
      </c>
      <c r="G519" s="90" t="s">
        <v>407</v>
      </c>
      <c r="H519" s="90" t="s">
        <v>305</v>
      </c>
      <c r="I519" s="167" t="s">
        <v>93</v>
      </c>
    </row>
    <row r="520" spans="1:9" x14ac:dyDescent="0.25">
      <c r="A520" s="15">
        <v>2</v>
      </c>
      <c r="B520" s="46">
        <v>0.67847222222222225</v>
      </c>
      <c r="C520" s="38">
        <v>1169</v>
      </c>
      <c r="D520" s="38" t="s">
        <v>97</v>
      </c>
      <c r="E520" s="38" t="s">
        <v>309</v>
      </c>
      <c r="F520" s="38" t="s">
        <v>282</v>
      </c>
      <c r="G520" s="5">
        <v>2</v>
      </c>
      <c r="H520" s="5" t="s">
        <v>395</v>
      </c>
      <c r="I520" s="156" t="s">
        <v>357</v>
      </c>
    </row>
    <row r="521" spans="1:9" x14ac:dyDescent="0.25">
      <c r="A521" s="15">
        <v>3</v>
      </c>
      <c r="B521" s="46">
        <v>0.70138888888888884</v>
      </c>
      <c r="C521" s="38">
        <v>1169</v>
      </c>
      <c r="D521" s="38" t="s">
        <v>97</v>
      </c>
      <c r="E521" s="38" t="s">
        <v>309</v>
      </c>
      <c r="F521" s="38" t="s">
        <v>282</v>
      </c>
      <c r="G521" s="5">
        <v>2</v>
      </c>
      <c r="H521" s="5" t="s">
        <v>395</v>
      </c>
      <c r="I521" s="156" t="s">
        <v>357</v>
      </c>
    </row>
    <row r="522" spans="1:9" s="101" customFormat="1" x14ac:dyDescent="0.25">
      <c r="A522" s="182">
        <v>46108</v>
      </c>
      <c r="B522" s="183"/>
      <c r="C522" s="183"/>
      <c r="D522" s="183"/>
      <c r="E522" s="183"/>
      <c r="F522" s="183"/>
      <c r="G522" s="183"/>
      <c r="H522" s="183"/>
      <c r="I522" s="184"/>
    </row>
    <row r="523" spans="1:9" x14ac:dyDescent="0.25">
      <c r="A523" s="22">
        <v>4</v>
      </c>
      <c r="B523" s="56">
        <v>3.8194444444444441E-2</v>
      </c>
      <c r="C523" s="43">
        <v>1222</v>
      </c>
      <c r="D523" s="43" t="s">
        <v>97</v>
      </c>
      <c r="E523" s="43" t="s">
        <v>257</v>
      </c>
      <c r="F523" s="43" t="s">
        <v>295</v>
      </c>
      <c r="G523" s="23">
        <v>7</v>
      </c>
      <c r="H523" s="23" t="s">
        <v>305</v>
      </c>
      <c r="I523" s="161" t="s">
        <v>357</v>
      </c>
    </row>
    <row r="524" spans="1:9" x14ac:dyDescent="0.25">
      <c r="A524" s="15">
        <v>5</v>
      </c>
      <c r="B524" s="46">
        <v>0.27291666666666664</v>
      </c>
      <c r="C524" s="38">
        <v>1169</v>
      </c>
      <c r="D524" s="38" t="s">
        <v>97</v>
      </c>
      <c r="E524" s="38" t="s">
        <v>309</v>
      </c>
      <c r="F524" s="38" t="s">
        <v>282</v>
      </c>
      <c r="G524" s="5">
        <v>2</v>
      </c>
      <c r="H524" s="5" t="s">
        <v>395</v>
      </c>
      <c r="I524" s="156" t="s">
        <v>357</v>
      </c>
    </row>
    <row r="525" spans="1:9" x14ac:dyDescent="0.25">
      <c r="A525" s="15">
        <v>6</v>
      </c>
      <c r="B525" s="46">
        <v>0.375</v>
      </c>
      <c r="C525" s="38">
        <v>1483</v>
      </c>
      <c r="D525" s="38" t="s">
        <v>408</v>
      </c>
      <c r="E525" s="38" t="s">
        <v>405</v>
      </c>
      <c r="F525" s="38" t="s">
        <v>295</v>
      </c>
      <c r="G525" s="5">
        <v>1</v>
      </c>
      <c r="H525" s="5" t="s">
        <v>408</v>
      </c>
      <c r="I525" s="156" t="s">
        <v>357</v>
      </c>
    </row>
    <row r="526" spans="1:9" x14ac:dyDescent="0.25">
      <c r="A526" s="15">
        <v>7</v>
      </c>
      <c r="B526" s="46">
        <v>0.37638888888888888</v>
      </c>
      <c r="C526" s="38">
        <v>1775</v>
      </c>
      <c r="D526" s="38" t="s">
        <v>408</v>
      </c>
      <c r="E526" s="38" t="s">
        <v>409</v>
      </c>
      <c r="F526" s="38" t="s">
        <v>313</v>
      </c>
      <c r="G526" s="5">
        <v>1</v>
      </c>
      <c r="H526" s="5" t="s">
        <v>408</v>
      </c>
      <c r="I526" s="156" t="s">
        <v>357</v>
      </c>
    </row>
    <row r="527" spans="1:9" x14ac:dyDescent="0.25">
      <c r="A527" s="15">
        <v>8</v>
      </c>
      <c r="B527" s="46">
        <v>0.37777777777777777</v>
      </c>
      <c r="C527" s="38">
        <v>1479</v>
      </c>
      <c r="D527" s="38" t="s">
        <v>408</v>
      </c>
      <c r="E527" s="38" t="s">
        <v>354</v>
      </c>
      <c r="F527" s="38" t="s">
        <v>339</v>
      </c>
      <c r="G527" s="5">
        <v>1</v>
      </c>
      <c r="H527" s="5" t="s">
        <v>408</v>
      </c>
      <c r="I527" s="156" t="s">
        <v>357</v>
      </c>
    </row>
    <row r="528" spans="1:9" x14ac:dyDescent="0.25">
      <c r="A528" s="15">
        <v>9</v>
      </c>
      <c r="B528" s="46">
        <v>0.37847222222222227</v>
      </c>
      <c r="C528" s="38">
        <v>1483</v>
      </c>
      <c r="D528" s="38" t="s">
        <v>408</v>
      </c>
      <c r="E528" s="38" t="s">
        <v>405</v>
      </c>
      <c r="F528" s="38" t="s">
        <v>313</v>
      </c>
      <c r="G528" s="5">
        <v>1</v>
      </c>
      <c r="H528" s="5" t="s">
        <v>408</v>
      </c>
      <c r="I528" s="156" t="s">
        <v>357</v>
      </c>
    </row>
    <row r="529" spans="1:9" x14ac:dyDescent="0.25">
      <c r="A529" s="15">
        <v>10</v>
      </c>
      <c r="B529" s="46">
        <v>0.37916666666666665</v>
      </c>
      <c r="C529" s="38">
        <v>1774</v>
      </c>
      <c r="D529" s="38" t="s">
        <v>408</v>
      </c>
      <c r="E529" s="38" t="s">
        <v>409</v>
      </c>
      <c r="F529" s="38" t="s">
        <v>295</v>
      </c>
      <c r="G529" s="5">
        <v>1</v>
      </c>
      <c r="H529" s="5" t="s">
        <v>408</v>
      </c>
      <c r="I529" s="156" t="s">
        <v>357</v>
      </c>
    </row>
    <row r="530" spans="1:9" x14ac:dyDescent="0.25">
      <c r="A530" s="15">
        <v>11</v>
      </c>
      <c r="B530" s="46">
        <v>0.38055555555555554</v>
      </c>
      <c r="C530" s="38">
        <v>1774</v>
      </c>
      <c r="D530" s="38" t="s">
        <v>408</v>
      </c>
      <c r="E530" s="38" t="s">
        <v>409</v>
      </c>
      <c r="F530" s="38" t="s">
        <v>295</v>
      </c>
      <c r="G530" s="5">
        <v>1</v>
      </c>
      <c r="H530" s="5" t="s">
        <v>408</v>
      </c>
      <c r="I530" s="156" t="s">
        <v>357</v>
      </c>
    </row>
    <row r="531" spans="1:9" x14ac:dyDescent="0.25">
      <c r="A531" s="15">
        <v>12</v>
      </c>
      <c r="B531" s="46">
        <v>0.38263888888888892</v>
      </c>
      <c r="C531" s="38">
        <v>1481</v>
      </c>
      <c r="D531" s="38" t="s">
        <v>408</v>
      </c>
      <c r="E531" s="38" t="s">
        <v>405</v>
      </c>
      <c r="F531" s="38" t="s">
        <v>295</v>
      </c>
      <c r="G531" s="5">
        <v>1</v>
      </c>
      <c r="H531" s="5" t="s">
        <v>408</v>
      </c>
      <c r="I531" s="156" t="s">
        <v>357</v>
      </c>
    </row>
    <row r="532" spans="1:9" x14ac:dyDescent="0.25">
      <c r="A532" s="15">
        <v>13</v>
      </c>
      <c r="B532" s="46">
        <v>0.3840277777777778</v>
      </c>
      <c r="C532" s="38">
        <v>1776</v>
      </c>
      <c r="D532" s="38" t="s">
        <v>408</v>
      </c>
      <c r="E532" s="38" t="s">
        <v>409</v>
      </c>
      <c r="F532" s="38" t="s">
        <v>339</v>
      </c>
      <c r="G532" s="5">
        <v>1</v>
      </c>
      <c r="H532" s="5" t="s">
        <v>408</v>
      </c>
      <c r="I532" s="156" t="s">
        <v>357</v>
      </c>
    </row>
    <row r="533" spans="1:9" x14ac:dyDescent="0.25">
      <c r="A533" s="15">
        <v>14</v>
      </c>
      <c r="B533" s="46">
        <v>0.38472222222222219</v>
      </c>
      <c r="C533" s="38">
        <v>1774</v>
      </c>
      <c r="D533" s="38" t="s">
        <v>408</v>
      </c>
      <c r="E533" s="38" t="s">
        <v>409</v>
      </c>
      <c r="F533" s="38" t="s">
        <v>295</v>
      </c>
      <c r="G533" s="5">
        <v>1</v>
      </c>
      <c r="H533" s="5" t="s">
        <v>408</v>
      </c>
      <c r="I533" s="156" t="s">
        <v>357</v>
      </c>
    </row>
    <row r="534" spans="1:9" x14ac:dyDescent="0.25">
      <c r="A534" s="15">
        <v>15</v>
      </c>
      <c r="B534" s="46">
        <v>0.38541666666666669</v>
      </c>
      <c r="C534" s="38">
        <v>1473</v>
      </c>
      <c r="D534" s="38" t="s">
        <v>408</v>
      </c>
      <c r="E534" s="38" t="s">
        <v>410</v>
      </c>
      <c r="F534" s="38" t="s">
        <v>399</v>
      </c>
      <c r="G534" s="5">
        <v>1</v>
      </c>
      <c r="H534" s="5" t="s">
        <v>408</v>
      </c>
      <c r="I534" s="156" t="s">
        <v>357</v>
      </c>
    </row>
    <row r="535" spans="1:9" x14ac:dyDescent="0.25">
      <c r="A535" s="15">
        <v>16</v>
      </c>
      <c r="B535" s="46">
        <v>0.44236111111111115</v>
      </c>
      <c r="C535" s="38">
        <v>1473</v>
      </c>
      <c r="D535" s="38" t="s">
        <v>408</v>
      </c>
      <c r="E535" s="38" t="s">
        <v>410</v>
      </c>
      <c r="F535" s="38" t="s">
        <v>399</v>
      </c>
      <c r="G535" s="5">
        <v>1</v>
      </c>
      <c r="H535" s="5" t="s">
        <v>408</v>
      </c>
      <c r="I535" s="156" t="s">
        <v>357</v>
      </c>
    </row>
    <row r="536" spans="1:9" x14ac:dyDescent="0.25">
      <c r="A536" s="15">
        <v>17</v>
      </c>
      <c r="B536" s="46">
        <v>0.4597222222222222</v>
      </c>
      <c r="C536" s="38">
        <v>1483</v>
      </c>
      <c r="D536" s="38" t="s">
        <v>408</v>
      </c>
      <c r="E536" s="38" t="s">
        <v>405</v>
      </c>
      <c r="F536" s="38" t="s">
        <v>313</v>
      </c>
      <c r="G536" s="5">
        <v>1</v>
      </c>
      <c r="H536" s="5" t="s">
        <v>408</v>
      </c>
      <c r="I536" s="156" t="s">
        <v>357</v>
      </c>
    </row>
    <row r="537" spans="1:9" x14ac:dyDescent="0.25">
      <c r="A537" s="15">
        <v>18</v>
      </c>
      <c r="B537" s="46">
        <v>0.4916666666666667</v>
      </c>
      <c r="C537" s="38">
        <v>1473</v>
      </c>
      <c r="D537" s="38" t="s">
        <v>408</v>
      </c>
      <c r="E537" s="38" t="s">
        <v>410</v>
      </c>
      <c r="F537" s="38" t="s">
        <v>339</v>
      </c>
      <c r="G537" s="5">
        <v>1</v>
      </c>
      <c r="H537" s="5" t="s">
        <v>408</v>
      </c>
      <c r="I537" s="156" t="s">
        <v>357</v>
      </c>
    </row>
    <row r="538" spans="1:9" x14ac:dyDescent="0.25">
      <c r="A538" s="15">
        <v>19</v>
      </c>
      <c r="B538" s="46">
        <v>0.49305555555555558</v>
      </c>
      <c r="C538" s="38">
        <v>1483</v>
      </c>
      <c r="D538" s="38" t="s">
        <v>408</v>
      </c>
      <c r="E538" s="38" t="s">
        <v>405</v>
      </c>
      <c r="F538" s="38" t="s">
        <v>313</v>
      </c>
      <c r="G538" s="5">
        <v>1</v>
      </c>
      <c r="H538" s="5" t="s">
        <v>408</v>
      </c>
      <c r="I538" s="156" t="s">
        <v>357</v>
      </c>
    </row>
    <row r="539" spans="1:9" x14ac:dyDescent="0.25">
      <c r="A539" s="15">
        <v>20</v>
      </c>
      <c r="B539" s="46">
        <v>0.49444444444444446</v>
      </c>
      <c r="C539" s="38">
        <v>1146</v>
      </c>
      <c r="D539" s="38" t="s">
        <v>10</v>
      </c>
      <c r="E539" s="38" t="s">
        <v>411</v>
      </c>
      <c r="F539" s="38" t="s">
        <v>315</v>
      </c>
      <c r="G539" s="5">
        <v>1</v>
      </c>
      <c r="H539" s="5" t="s">
        <v>395</v>
      </c>
      <c r="I539" s="156" t="s">
        <v>357</v>
      </c>
    </row>
    <row r="540" spans="1:9" x14ac:dyDescent="0.25">
      <c r="A540" s="15">
        <v>21</v>
      </c>
      <c r="B540" s="46">
        <v>0.52847222222222223</v>
      </c>
      <c r="C540" s="38">
        <v>1774</v>
      </c>
      <c r="D540" s="38" t="s">
        <v>408</v>
      </c>
      <c r="E540" s="38" t="s">
        <v>409</v>
      </c>
      <c r="F540" s="38" t="s">
        <v>295</v>
      </c>
      <c r="G540" s="5">
        <v>1</v>
      </c>
      <c r="H540" s="5" t="s">
        <v>408</v>
      </c>
      <c r="I540" s="157" t="s">
        <v>383</v>
      </c>
    </row>
    <row r="541" spans="1:9" x14ac:dyDescent="0.25">
      <c r="A541" s="22">
        <v>22</v>
      </c>
      <c r="B541" s="56">
        <v>0.53194444444444444</v>
      </c>
      <c r="C541" s="43"/>
      <c r="D541" s="43" t="s">
        <v>97</v>
      </c>
      <c r="E541" s="43" t="s">
        <v>412</v>
      </c>
      <c r="F541" s="43" t="s">
        <v>413</v>
      </c>
      <c r="G541" s="23" t="s">
        <v>113</v>
      </c>
      <c r="H541" s="23" t="s">
        <v>305</v>
      </c>
      <c r="I541" s="161" t="s">
        <v>357</v>
      </c>
    </row>
    <row r="542" spans="1:9" x14ac:dyDescent="0.25">
      <c r="A542" s="15">
        <v>23</v>
      </c>
      <c r="B542" s="46">
        <v>0.55625000000000002</v>
      </c>
      <c r="C542" s="38">
        <v>1533</v>
      </c>
      <c r="D542" s="38" t="s">
        <v>10</v>
      </c>
      <c r="E542" s="38" t="s">
        <v>397</v>
      </c>
      <c r="F542" s="38" t="s">
        <v>276</v>
      </c>
      <c r="G542" s="5" t="s">
        <v>201</v>
      </c>
      <c r="H542" s="5" t="s">
        <v>395</v>
      </c>
      <c r="I542" s="157" t="s">
        <v>383</v>
      </c>
    </row>
    <row r="543" spans="1:9" ht="19.5" thickBot="1" x14ac:dyDescent="0.3">
      <c r="A543" s="173" t="s">
        <v>414</v>
      </c>
      <c r="B543" s="174"/>
      <c r="C543" s="174"/>
      <c r="D543" s="174"/>
      <c r="E543" s="174"/>
      <c r="F543" s="174"/>
      <c r="G543" s="174"/>
      <c r="H543" s="174"/>
      <c r="I543" s="175"/>
    </row>
    <row r="545" spans="1:9" ht="19.5" thickBot="1" x14ac:dyDescent="0.3">
      <c r="A545" s="183">
        <v>46109</v>
      </c>
      <c r="B545" s="183"/>
      <c r="C545" s="183"/>
      <c r="D545" s="183"/>
      <c r="E545" s="183"/>
      <c r="F545" s="183"/>
      <c r="G545" s="183"/>
      <c r="H545" s="183"/>
      <c r="I545" s="183"/>
    </row>
    <row r="546" spans="1:9" x14ac:dyDescent="0.25">
      <c r="A546" s="14">
        <v>1</v>
      </c>
      <c r="B546" s="45">
        <v>0.27777777777777779</v>
      </c>
      <c r="C546" s="37">
        <v>1184</v>
      </c>
      <c r="D546" s="37" t="s">
        <v>97</v>
      </c>
      <c r="E546" s="37" t="s">
        <v>307</v>
      </c>
      <c r="F546" s="37" t="s">
        <v>282</v>
      </c>
      <c r="G546" s="151" t="s">
        <v>400</v>
      </c>
      <c r="H546" s="151" t="s">
        <v>408</v>
      </c>
      <c r="I546" s="167" t="s">
        <v>383</v>
      </c>
    </row>
    <row r="547" spans="1:9" x14ac:dyDescent="0.25">
      <c r="A547" s="15">
        <v>2</v>
      </c>
      <c r="B547" s="46">
        <v>0.28333333333333333</v>
      </c>
      <c r="C547" s="38">
        <v>1184</v>
      </c>
      <c r="D547" s="38" t="s">
        <v>97</v>
      </c>
      <c r="E547" s="38" t="s">
        <v>307</v>
      </c>
      <c r="F547" s="38" t="s">
        <v>295</v>
      </c>
      <c r="G547" s="5" t="s">
        <v>400</v>
      </c>
      <c r="H547" s="5" t="s">
        <v>408</v>
      </c>
      <c r="I547" s="157" t="s">
        <v>383</v>
      </c>
    </row>
    <row r="548" spans="1:9" x14ac:dyDescent="0.25">
      <c r="A548" s="15">
        <v>3</v>
      </c>
      <c r="B548" s="46">
        <v>0.28958333333333336</v>
      </c>
      <c r="C548" s="38">
        <v>1184</v>
      </c>
      <c r="D548" s="38" t="s">
        <v>97</v>
      </c>
      <c r="E548" s="38" t="s">
        <v>307</v>
      </c>
      <c r="F548" s="38" t="s">
        <v>295</v>
      </c>
      <c r="G548" s="5" t="s">
        <v>400</v>
      </c>
      <c r="H548" s="5" t="s">
        <v>408</v>
      </c>
      <c r="I548" s="157" t="s">
        <v>383</v>
      </c>
    </row>
    <row r="549" spans="1:9" x14ac:dyDescent="0.25">
      <c r="A549" s="15">
        <v>4</v>
      </c>
      <c r="B549" s="46">
        <v>0.29652777777777778</v>
      </c>
      <c r="C549" s="38">
        <v>1184</v>
      </c>
      <c r="D549" s="38" t="s">
        <v>97</v>
      </c>
      <c r="E549" s="38" t="s">
        <v>307</v>
      </c>
      <c r="F549" s="38" t="s">
        <v>282</v>
      </c>
      <c r="G549" s="5" t="s">
        <v>400</v>
      </c>
      <c r="H549" s="5" t="s">
        <v>408</v>
      </c>
      <c r="I549" s="157" t="s">
        <v>383</v>
      </c>
    </row>
    <row r="550" spans="1:9" x14ac:dyDescent="0.25">
      <c r="A550" s="15">
        <v>5</v>
      </c>
      <c r="B550" s="38" t="s">
        <v>415</v>
      </c>
      <c r="C550" s="38">
        <v>1184</v>
      </c>
      <c r="D550" s="38"/>
      <c r="E550" s="38" t="s">
        <v>307</v>
      </c>
      <c r="F550" s="38" t="s">
        <v>295</v>
      </c>
      <c r="G550" s="5">
        <v>1</v>
      </c>
      <c r="H550" s="5" t="s">
        <v>408</v>
      </c>
      <c r="I550" s="156" t="s">
        <v>357</v>
      </c>
    </row>
    <row r="551" spans="1:9" x14ac:dyDescent="0.25">
      <c r="A551" s="15">
        <v>6</v>
      </c>
      <c r="B551" s="46">
        <v>0.34583333333333338</v>
      </c>
      <c r="C551" s="38">
        <v>1203</v>
      </c>
      <c r="D551" s="38"/>
      <c r="E551" s="38" t="s">
        <v>416</v>
      </c>
      <c r="F551" s="38" t="s">
        <v>313</v>
      </c>
      <c r="G551" s="5">
        <v>1</v>
      </c>
      <c r="H551" s="5" t="s">
        <v>408</v>
      </c>
      <c r="I551" s="156" t="s">
        <v>357</v>
      </c>
    </row>
    <row r="552" spans="1:9" x14ac:dyDescent="0.25">
      <c r="A552" s="15">
        <v>7</v>
      </c>
      <c r="B552" s="46">
        <v>0.34861111111111115</v>
      </c>
      <c r="C552" s="38">
        <v>1184</v>
      </c>
      <c r="D552" s="38"/>
      <c r="E552" s="38" t="s">
        <v>307</v>
      </c>
      <c r="F552" s="38" t="s">
        <v>401</v>
      </c>
      <c r="G552" s="5">
        <v>1</v>
      </c>
      <c r="H552" s="5" t="s">
        <v>408</v>
      </c>
      <c r="I552" s="156" t="s">
        <v>357</v>
      </c>
    </row>
    <row r="553" spans="1:9" x14ac:dyDescent="0.25">
      <c r="A553" s="15">
        <v>8</v>
      </c>
      <c r="B553" s="46">
        <v>0.35069444444444442</v>
      </c>
      <c r="C553" s="38">
        <v>1203</v>
      </c>
      <c r="D553" s="38"/>
      <c r="E553" s="38" t="s">
        <v>416</v>
      </c>
      <c r="F553" s="38" t="s">
        <v>295</v>
      </c>
      <c r="G553" s="5">
        <v>1</v>
      </c>
      <c r="H553" s="5" t="s">
        <v>408</v>
      </c>
      <c r="I553" s="156" t="s">
        <v>357</v>
      </c>
    </row>
    <row r="554" spans="1:9" x14ac:dyDescent="0.25">
      <c r="A554" s="15">
        <v>9</v>
      </c>
      <c r="B554" s="46">
        <v>0.35138888888888892</v>
      </c>
      <c r="C554" s="38">
        <v>1202</v>
      </c>
      <c r="D554" s="38"/>
      <c r="E554" s="38" t="s">
        <v>416</v>
      </c>
      <c r="F554" s="38" t="s">
        <v>313</v>
      </c>
      <c r="G554" s="5">
        <v>1</v>
      </c>
      <c r="H554" s="5" t="s">
        <v>408</v>
      </c>
      <c r="I554" s="156" t="s">
        <v>357</v>
      </c>
    </row>
    <row r="555" spans="1:9" x14ac:dyDescent="0.25">
      <c r="A555" s="15">
        <v>10</v>
      </c>
      <c r="B555" s="46">
        <v>0.3527777777777778</v>
      </c>
      <c r="C555" s="38" t="s">
        <v>417</v>
      </c>
      <c r="D555" s="38"/>
      <c r="E555" s="38" t="s">
        <v>418</v>
      </c>
      <c r="F555" s="38" t="s">
        <v>419</v>
      </c>
      <c r="G555" s="5">
        <v>2</v>
      </c>
      <c r="H555" s="5" t="s">
        <v>408</v>
      </c>
      <c r="I555" s="156" t="s">
        <v>357</v>
      </c>
    </row>
    <row r="556" spans="1:9" x14ac:dyDescent="0.25">
      <c r="A556" s="15">
        <v>11</v>
      </c>
      <c r="B556" s="38" t="s">
        <v>420</v>
      </c>
      <c r="C556" s="38">
        <v>1184</v>
      </c>
      <c r="D556" s="38"/>
      <c r="E556" s="38" t="s">
        <v>307</v>
      </c>
      <c r="F556" s="38" t="s">
        <v>282</v>
      </c>
      <c r="G556" s="5">
        <v>4</v>
      </c>
      <c r="H556" s="5" t="s">
        <v>408</v>
      </c>
      <c r="I556" s="156" t="s">
        <v>357</v>
      </c>
    </row>
    <row r="557" spans="1:9" x14ac:dyDescent="0.25">
      <c r="A557" s="15">
        <v>12</v>
      </c>
      <c r="B557" s="46">
        <v>0.3743055555555555</v>
      </c>
      <c r="C557" s="38">
        <v>1203</v>
      </c>
      <c r="D557" s="38"/>
      <c r="E557" s="38" t="s">
        <v>416</v>
      </c>
      <c r="F557" s="38" t="s">
        <v>295</v>
      </c>
      <c r="G557" s="5">
        <v>1</v>
      </c>
      <c r="H557" s="5" t="s">
        <v>408</v>
      </c>
      <c r="I557" s="156" t="s">
        <v>357</v>
      </c>
    </row>
    <row r="558" spans="1:9" x14ac:dyDescent="0.25">
      <c r="A558" s="15">
        <v>13</v>
      </c>
      <c r="B558" s="46">
        <v>0.38472222222222219</v>
      </c>
      <c r="C558" s="38">
        <v>1203</v>
      </c>
      <c r="D558" s="38"/>
      <c r="E558" s="38" t="s">
        <v>416</v>
      </c>
      <c r="F558" s="38" t="s">
        <v>313</v>
      </c>
      <c r="G558" s="5">
        <v>1</v>
      </c>
      <c r="H558" s="5" t="s">
        <v>408</v>
      </c>
      <c r="I558" s="156" t="s">
        <v>357</v>
      </c>
    </row>
    <row r="559" spans="1:9" x14ac:dyDescent="0.25">
      <c r="A559" s="15">
        <v>14</v>
      </c>
      <c r="B559" s="46">
        <v>0.39652777777777781</v>
      </c>
      <c r="C559" s="38"/>
      <c r="D559" s="38"/>
      <c r="E559" s="38" t="s">
        <v>416</v>
      </c>
      <c r="F559" s="38" t="s">
        <v>339</v>
      </c>
      <c r="G559" s="5">
        <v>1</v>
      </c>
      <c r="H559" s="5" t="s">
        <v>408</v>
      </c>
      <c r="I559" s="156" t="s">
        <v>357</v>
      </c>
    </row>
    <row r="560" spans="1:9" x14ac:dyDescent="0.25">
      <c r="A560" s="15">
        <v>15</v>
      </c>
      <c r="B560" s="46">
        <v>0.41319444444444442</v>
      </c>
      <c r="C560" s="38">
        <v>1202</v>
      </c>
      <c r="D560" s="38"/>
      <c r="E560" s="38" t="s">
        <v>416</v>
      </c>
      <c r="F560" s="38" t="s">
        <v>295</v>
      </c>
      <c r="G560" s="5">
        <v>1</v>
      </c>
      <c r="H560" s="5" t="s">
        <v>408</v>
      </c>
      <c r="I560" s="156" t="s">
        <v>357</v>
      </c>
    </row>
    <row r="561" spans="1:9" x14ac:dyDescent="0.25">
      <c r="A561" s="15">
        <v>16</v>
      </c>
      <c r="B561" s="46">
        <v>0.41388888888888892</v>
      </c>
      <c r="C561" s="38">
        <v>1202</v>
      </c>
      <c r="D561" s="38"/>
      <c r="E561" s="38" t="s">
        <v>416</v>
      </c>
      <c r="F561" s="38" t="s">
        <v>339</v>
      </c>
      <c r="G561" s="5">
        <v>1</v>
      </c>
      <c r="H561" s="5" t="s">
        <v>408</v>
      </c>
      <c r="I561" s="156" t="s">
        <v>357</v>
      </c>
    </row>
    <row r="562" spans="1:9" x14ac:dyDescent="0.25">
      <c r="A562" s="22">
        <v>17</v>
      </c>
      <c r="B562" s="56">
        <v>0.4152777777777778</v>
      </c>
      <c r="C562" s="43"/>
      <c r="D562" s="43" t="s">
        <v>421</v>
      </c>
      <c r="E562" s="43" t="s">
        <v>422</v>
      </c>
      <c r="F562" s="43" t="s">
        <v>424</v>
      </c>
      <c r="G562" s="23" t="s">
        <v>234</v>
      </c>
      <c r="H562" s="23" t="s">
        <v>305</v>
      </c>
      <c r="I562" s="161" t="s">
        <v>357</v>
      </c>
    </row>
    <row r="563" spans="1:9" x14ac:dyDescent="0.25">
      <c r="A563" s="15">
        <v>18</v>
      </c>
      <c r="B563" s="46">
        <v>0.42291666666666666</v>
      </c>
      <c r="C563" s="38">
        <v>1202</v>
      </c>
      <c r="D563" s="38"/>
      <c r="E563" s="38" t="s">
        <v>416</v>
      </c>
      <c r="F563" s="38" t="s">
        <v>313</v>
      </c>
      <c r="G563" s="5">
        <v>1</v>
      </c>
      <c r="H563" s="5" t="s">
        <v>408</v>
      </c>
      <c r="I563" s="156" t="s">
        <v>357</v>
      </c>
    </row>
    <row r="564" spans="1:9" x14ac:dyDescent="0.25">
      <c r="A564" s="22">
        <v>19</v>
      </c>
      <c r="B564" s="56">
        <v>0.55208333333333337</v>
      </c>
      <c r="C564" s="43">
        <v>18558</v>
      </c>
      <c r="D564" s="43" t="s">
        <v>97</v>
      </c>
      <c r="E564" s="43" t="s">
        <v>206</v>
      </c>
      <c r="F564" s="43" t="s">
        <v>295</v>
      </c>
      <c r="G564" s="23" t="s">
        <v>87</v>
      </c>
      <c r="H564" s="23" t="s">
        <v>305</v>
      </c>
      <c r="I564" s="157" t="s">
        <v>93</v>
      </c>
    </row>
    <row r="565" spans="1:9" ht="19.5" thickBot="1" x14ac:dyDescent="0.3">
      <c r="A565" s="173" t="s">
        <v>423</v>
      </c>
      <c r="B565" s="174"/>
      <c r="C565" s="174"/>
      <c r="D565" s="174"/>
      <c r="E565" s="174"/>
      <c r="F565" s="174"/>
      <c r="G565" s="174"/>
      <c r="H565" s="174"/>
      <c r="I565" s="175"/>
    </row>
    <row r="566" spans="1:9" ht="19.5" thickBot="1" x14ac:dyDescent="0.3"/>
    <row r="567" spans="1:9" x14ac:dyDescent="0.25">
      <c r="A567" s="14">
        <v>1</v>
      </c>
      <c r="B567" s="45">
        <v>0.78194444444444444</v>
      </c>
      <c r="C567" s="37">
        <v>1174</v>
      </c>
      <c r="D567" s="37"/>
      <c r="E567" s="37" t="s">
        <v>307</v>
      </c>
      <c r="F567" s="37" t="s">
        <v>282</v>
      </c>
      <c r="G567" s="151">
        <v>2</v>
      </c>
      <c r="H567" s="151" t="s">
        <v>408</v>
      </c>
      <c r="I567" s="155" t="s">
        <v>357</v>
      </c>
    </row>
    <row r="568" spans="1:9" x14ac:dyDescent="0.25">
      <c r="A568" s="15">
        <v>2</v>
      </c>
      <c r="B568" s="46">
        <v>0.91111111111111109</v>
      </c>
      <c r="C568" s="38" t="s">
        <v>426</v>
      </c>
      <c r="D568" s="38" t="s">
        <v>97</v>
      </c>
      <c r="E568" s="38" t="s">
        <v>104</v>
      </c>
      <c r="F568" s="38" t="s">
        <v>313</v>
      </c>
      <c r="G568" s="113" t="s">
        <v>209</v>
      </c>
      <c r="H568" s="5" t="s">
        <v>425</v>
      </c>
      <c r="I568" s="156" t="s">
        <v>243</v>
      </c>
    </row>
    <row r="569" spans="1:9" x14ac:dyDescent="0.25">
      <c r="A569" s="182">
        <v>46110</v>
      </c>
      <c r="B569" s="183"/>
      <c r="C569" s="183"/>
      <c r="D569" s="183"/>
      <c r="E569" s="183"/>
      <c r="F569" s="183"/>
      <c r="G569" s="183"/>
      <c r="H569" s="183"/>
      <c r="I569" s="184"/>
    </row>
    <row r="570" spans="1:9" x14ac:dyDescent="0.25">
      <c r="A570" s="15">
        <v>3</v>
      </c>
      <c r="B570" s="114">
        <v>0.26458333333333334</v>
      </c>
      <c r="C570" s="38">
        <v>1133</v>
      </c>
      <c r="D570" s="38" t="s">
        <v>97</v>
      </c>
      <c r="E570" s="38" t="s">
        <v>428</v>
      </c>
      <c r="F570" s="38" t="s">
        <v>282</v>
      </c>
      <c r="G570" s="5">
        <v>1</v>
      </c>
      <c r="H570" s="5" t="s">
        <v>425</v>
      </c>
      <c r="I570" s="156" t="s">
        <v>243</v>
      </c>
    </row>
    <row r="571" spans="1:9" x14ac:dyDescent="0.25">
      <c r="A571" s="15">
        <v>4</v>
      </c>
      <c r="B571" s="46">
        <v>0.27083333333333331</v>
      </c>
      <c r="C571" s="38">
        <v>969</v>
      </c>
      <c r="D571" s="38" t="s">
        <v>97</v>
      </c>
      <c r="E571" s="38" t="s">
        <v>429</v>
      </c>
      <c r="F571" s="38" t="s">
        <v>339</v>
      </c>
      <c r="G571" s="5">
        <v>4</v>
      </c>
      <c r="H571" s="5" t="s">
        <v>425</v>
      </c>
      <c r="I571" s="156" t="s">
        <v>243</v>
      </c>
    </row>
    <row r="572" spans="1:9" x14ac:dyDescent="0.25">
      <c r="A572" s="15">
        <v>5</v>
      </c>
      <c r="B572" s="46">
        <v>0.30972222222222223</v>
      </c>
      <c r="C572" s="38">
        <v>1169</v>
      </c>
      <c r="D572" s="38"/>
      <c r="E572" s="38" t="s">
        <v>309</v>
      </c>
      <c r="F572" s="38" t="s">
        <v>286</v>
      </c>
      <c r="G572" s="5">
        <v>2</v>
      </c>
      <c r="H572" s="5" t="s">
        <v>408</v>
      </c>
      <c r="I572" s="156" t="s">
        <v>243</v>
      </c>
    </row>
    <row r="573" spans="1:9" x14ac:dyDescent="0.25">
      <c r="A573" s="15">
        <v>6</v>
      </c>
      <c r="B573" s="46">
        <v>0.35000000000000003</v>
      </c>
      <c r="C573" s="38">
        <v>1169</v>
      </c>
      <c r="D573" s="38"/>
      <c r="E573" s="38" t="s">
        <v>309</v>
      </c>
      <c r="F573" s="38" t="s">
        <v>315</v>
      </c>
      <c r="G573" s="5">
        <v>1</v>
      </c>
      <c r="H573" s="5" t="s">
        <v>408</v>
      </c>
      <c r="I573" s="156" t="s">
        <v>243</v>
      </c>
    </row>
    <row r="574" spans="1:9" x14ac:dyDescent="0.25">
      <c r="A574" s="22">
        <v>7</v>
      </c>
      <c r="B574" s="56">
        <v>0.34861111111111115</v>
      </c>
      <c r="C574" s="43"/>
      <c r="D574" s="43"/>
      <c r="E574" s="43" t="s">
        <v>206</v>
      </c>
      <c r="F574" s="43" t="s">
        <v>431</v>
      </c>
      <c r="G574" s="23" t="s">
        <v>113</v>
      </c>
      <c r="H574" s="23" t="s">
        <v>305</v>
      </c>
      <c r="I574" s="161" t="s">
        <v>243</v>
      </c>
    </row>
    <row r="575" spans="1:9" x14ac:dyDescent="0.25">
      <c r="A575" s="15">
        <v>8</v>
      </c>
      <c r="B575" s="46">
        <v>0.44513888888888892</v>
      </c>
      <c r="C575" s="38">
        <v>1168</v>
      </c>
      <c r="D575" s="38"/>
      <c r="E575" s="38" t="s">
        <v>386</v>
      </c>
      <c r="F575" s="38" t="s">
        <v>430</v>
      </c>
      <c r="G575" s="5">
        <v>1</v>
      </c>
      <c r="H575" s="5" t="s">
        <v>425</v>
      </c>
      <c r="I575" s="156" t="s">
        <v>243</v>
      </c>
    </row>
    <row r="576" spans="1:9" x14ac:dyDescent="0.25">
      <c r="A576" s="15">
        <v>9</v>
      </c>
      <c r="B576" s="46">
        <v>0.44722222222222219</v>
      </c>
      <c r="C576" s="38">
        <v>1447</v>
      </c>
      <c r="D576" s="38" t="s">
        <v>97</v>
      </c>
      <c r="E576" s="38" t="s">
        <v>432</v>
      </c>
      <c r="F576" s="38" t="s">
        <v>293</v>
      </c>
      <c r="G576" s="5" t="s">
        <v>433</v>
      </c>
      <c r="H576" s="5" t="s">
        <v>425</v>
      </c>
      <c r="I576" s="157" t="s">
        <v>258</v>
      </c>
    </row>
    <row r="577" spans="1:9" x14ac:dyDescent="0.25">
      <c r="A577" s="15">
        <v>10</v>
      </c>
      <c r="B577" s="46">
        <v>0.44861111111111113</v>
      </c>
      <c r="C577" s="38">
        <v>1169</v>
      </c>
      <c r="D577" s="38"/>
      <c r="E577" s="38" t="s">
        <v>309</v>
      </c>
      <c r="F577" s="38" t="s">
        <v>315</v>
      </c>
      <c r="G577" s="5">
        <v>3</v>
      </c>
      <c r="H577" s="5" t="s">
        <v>425</v>
      </c>
      <c r="I577" s="156" t="s">
        <v>243</v>
      </c>
    </row>
    <row r="578" spans="1:9" x14ac:dyDescent="0.25">
      <c r="A578" s="15">
        <v>11</v>
      </c>
      <c r="B578" s="46">
        <v>0.49027777777777781</v>
      </c>
      <c r="C578" s="38">
        <v>1183</v>
      </c>
      <c r="D578" s="38"/>
      <c r="E578" s="38" t="s">
        <v>307</v>
      </c>
      <c r="F578" s="38" t="s">
        <v>419</v>
      </c>
      <c r="G578" s="5" t="s">
        <v>374</v>
      </c>
      <c r="H578" s="5" t="s">
        <v>395</v>
      </c>
      <c r="I578" s="157" t="s">
        <v>258</v>
      </c>
    </row>
    <row r="579" spans="1:9" x14ac:dyDescent="0.25">
      <c r="A579" s="15">
        <v>12</v>
      </c>
      <c r="B579" s="46">
        <v>0.52083333333333337</v>
      </c>
      <c r="C579" s="38">
        <v>1849</v>
      </c>
      <c r="D579" s="38" t="s">
        <v>97</v>
      </c>
      <c r="E579" s="38" t="s">
        <v>434</v>
      </c>
      <c r="F579" s="38" t="s">
        <v>435</v>
      </c>
      <c r="G579" s="5" t="s">
        <v>95</v>
      </c>
      <c r="H579" s="5" t="s">
        <v>395</v>
      </c>
      <c r="I579" s="157" t="s">
        <v>258</v>
      </c>
    </row>
    <row r="580" spans="1:9" x14ac:dyDescent="0.25">
      <c r="A580" s="15">
        <v>12</v>
      </c>
      <c r="B580" s="46">
        <v>0.5625</v>
      </c>
      <c r="C580" s="38">
        <v>1183</v>
      </c>
      <c r="D580" s="38" t="s">
        <v>10</v>
      </c>
      <c r="E580" s="38" t="s">
        <v>307</v>
      </c>
      <c r="F580" s="38" t="s">
        <v>276</v>
      </c>
      <c r="G580" s="5">
        <v>4</v>
      </c>
      <c r="H580" s="5" t="s">
        <v>395</v>
      </c>
      <c r="I580" s="156" t="s">
        <v>243</v>
      </c>
    </row>
    <row r="581" spans="1:9" x14ac:dyDescent="0.25">
      <c r="A581" s="15">
        <v>13</v>
      </c>
      <c r="B581" s="46">
        <v>0.6166666666666667</v>
      </c>
      <c r="C581" s="38">
        <v>1849</v>
      </c>
      <c r="D581" s="38" t="s">
        <v>10</v>
      </c>
      <c r="E581" s="38" t="s">
        <v>434</v>
      </c>
      <c r="F581" s="38" t="s">
        <v>293</v>
      </c>
      <c r="G581" s="5" t="s">
        <v>371</v>
      </c>
      <c r="H581" s="5" t="s">
        <v>395</v>
      </c>
      <c r="I581" s="157" t="s">
        <v>258</v>
      </c>
    </row>
    <row r="582" spans="1:9" ht="19.5" thickBot="1" x14ac:dyDescent="0.3">
      <c r="A582" s="173" t="s">
        <v>436</v>
      </c>
      <c r="B582" s="174"/>
      <c r="C582" s="174"/>
      <c r="D582" s="174"/>
      <c r="E582" s="174"/>
      <c r="F582" s="174"/>
      <c r="G582" s="174"/>
      <c r="H582" s="174"/>
      <c r="I582" s="175"/>
    </row>
    <row r="583" spans="1:9" ht="19.5" thickBot="1" x14ac:dyDescent="0.3"/>
    <row r="584" spans="1:9" x14ac:dyDescent="0.25">
      <c r="A584" s="14">
        <v>1</v>
      </c>
      <c r="B584" s="45">
        <v>0.72083333333333333</v>
      </c>
      <c r="C584" s="37">
        <v>1172</v>
      </c>
      <c r="D584" s="37" t="s">
        <v>97</v>
      </c>
      <c r="E584" s="37" t="s">
        <v>307</v>
      </c>
      <c r="F584" s="37" t="s">
        <v>342</v>
      </c>
      <c r="G584" s="151" t="s">
        <v>158</v>
      </c>
      <c r="H584" s="151" t="s">
        <v>97</v>
      </c>
      <c r="I584" s="167" t="s">
        <v>258</v>
      </c>
    </row>
    <row r="585" spans="1:9" x14ac:dyDescent="0.25">
      <c r="A585" s="15">
        <v>2</v>
      </c>
      <c r="B585" s="46">
        <v>0.77777777777777779</v>
      </c>
      <c r="C585" s="38" t="s">
        <v>437</v>
      </c>
      <c r="D585" s="38" t="s">
        <v>97</v>
      </c>
      <c r="E585" s="38" t="s">
        <v>307</v>
      </c>
      <c r="F585" s="38" t="s">
        <v>276</v>
      </c>
      <c r="G585" s="5" t="s">
        <v>438</v>
      </c>
      <c r="H585" s="5" t="s">
        <v>97</v>
      </c>
      <c r="I585" s="157" t="s">
        <v>258</v>
      </c>
    </row>
    <row r="586" spans="1:9" x14ac:dyDescent="0.25">
      <c r="A586" s="15">
        <v>3</v>
      </c>
      <c r="B586" s="46">
        <v>0.83888888888888891</v>
      </c>
      <c r="C586" s="38">
        <v>1169</v>
      </c>
      <c r="D586" s="38" t="s">
        <v>97</v>
      </c>
      <c r="E586" s="38" t="s">
        <v>309</v>
      </c>
      <c r="F586" s="38" t="s">
        <v>315</v>
      </c>
      <c r="G586" s="5">
        <v>1</v>
      </c>
      <c r="H586" s="5" t="s">
        <v>395</v>
      </c>
      <c r="I586" s="156" t="s">
        <v>243</v>
      </c>
    </row>
    <row r="587" spans="1:9" x14ac:dyDescent="0.25">
      <c r="A587" s="15">
        <v>4</v>
      </c>
      <c r="B587" s="46">
        <v>0.97361111111111109</v>
      </c>
      <c r="C587" s="38" t="s">
        <v>369</v>
      </c>
      <c r="D587" s="38" t="s">
        <v>97</v>
      </c>
      <c r="E587" s="38" t="s">
        <v>307</v>
      </c>
      <c r="F587" s="38" t="s">
        <v>313</v>
      </c>
      <c r="G587" s="5">
        <v>3</v>
      </c>
      <c r="H587" s="5" t="s">
        <v>395</v>
      </c>
      <c r="I587" s="156" t="s">
        <v>243</v>
      </c>
    </row>
    <row r="588" spans="1:9" x14ac:dyDescent="0.25">
      <c r="A588" s="182">
        <v>46111</v>
      </c>
      <c r="B588" s="183"/>
      <c r="C588" s="183"/>
      <c r="D588" s="183"/>
      <c r="E588" s="183"/>
      <c r="F588" s="183"/>
      <c r="G588" s="183"/>
      <c r="H588" s="183"/>
      <c r="I588" s="184"/>
    </row>
    <row r="589" spans="1:9" x14ac:dyDescent="0.25">
      <c r="A589" s="15">
        <v>5</v>
      </c>
      <c r="B589" s="46">
        <v>0.14444444444444446</v>
      </c>
      <c r="C589" s="38" t="s">
        <v>369</v>
      </c>
      <c r="D589" s="38" t="s">
        <v>97</v>
      </c>
      <c r="E589" s="38" t="s">
        <v>307</v>
      </c>
      <c r="F589" s="38" t="s">
        <v>313</v>
      </c>
      <c r="G589" s="5" t="s">
        <v>439</v>
      </c>
      <c r="H589" s="5" t="s">
        <v>395</v>
      </c>
      <c r="I589" s="156" t="s">
        <v>258</v>
      </c>
    </row>
    <row r="590" spans="1:9" x14ac:dyDescent="0.25">
      <c r="A590" s="15">
        <v>6</v>
      </c>
      <c r="B590" s="46">
        <v>0.37083333333333335</v>
      </c>
      <c r="C590" s="38" t="s">
        <v>440</v>
      </c>
      <c r="D590" s="38" t="s">
        <v>10</v>
      </c>
      <c r="E590" s="38" t="s">
        <v>31</v>
      </c>
      <c r="F590" s="38" t="s">
        <v>441</v>
      </c>
      <c r="G590" s="5">
        <v>2</v>
      </c>
      <c r="H590" s="5" t="s">
        <v>395</v>
      </c>
      <c r="I590" s="156" t="s">
        <v>243</v>
      </c>
    </row>
    <row r="591" spans="1:9" x14ac:dyDescent="0.25">
      <c r="A591" s="15">
        <v>7</v>
      </c>
      <c r="B591" s="46">
        <v>0.50694444444444442</v>
      </c>
      <c r="C591" s="38">
        <v>1131</v>
      </c>
      <c r="D591" s="38"/>
      <c r="E591" s="38" t="s">
        <v>442</v>
      </c>
      <c r="F591" s="38" t="s">
        <v>443</v>
      </c>
      <c r="G591" s="5">
        <v>4</v>
      </c>
      <c r="H591" s="5" t="s">
        <v>395</v>
      </c>
      <c r="I591" s="156" t="s">
        <v>243</v>
      </c>
    </row>
    <row r="592" spans="1:9" x14ac:dyDescent="0.25">
      <c r="A592" s="22">
        <v>8</v>
      </c>
      <c r="B592" s="56">
        <v>0.50486111111111109</v>
      </c>
      <c r="C592" s="43"/>
      <c r="D592" s="43" t="s">
        <v>97</v>
      </c>
      <c r="E592" s="43" t="s">
        <v>432</v>
      </c>
      <c r="F592" s="43" t="s">
        <v>444</v>
      </c>
      <c r="G592" s="23" t="s">
        <v>113</v>
      </c>
      <c r="H592" s="23" t="s">
        <v>305</v>
      </c>
      <c r="I592" s="161" t="s">
        <v>243</v>
      </c>
    </row>
    <row r="593" spans="1:9" x14ac:dyDescent="0.25">
      <c r="A593" s="22">
        <v>9</v>
      </c>
      <c r="B593" s="56">
        <v>0.55625000000000002</v>
      </c>
      <c r="C593" s="43"/>
      <c r="D593" s="43" t="s">
        <v>97</v>
      </c>
      <c r="E593" s="43" t="s">
        <v>434</v>
      </c>
      <c r="F593" s="43" t="s">
        <v>444</v>
      </c>
      <c r="G593" s="23" t="s">
        <v>113</v>
      </c>
      <c r="H593" s="23" t="s">
        <v>305</v>
      </c>
      <c r="I593" s="161" t="s">
        <v>243</v>
      </c>
    </row>
    <row r="594" spans="1:9" x14ac:dyDescent="0.25">
      <c r="A594" s="15">
        <v>10</v>
      </c>
      <c r="B594" s="46">
        <v>0.59166666666666667</v>
      </c>
      <c r="C594" s="38"/>
      <c r="D594" s="38"/>
      <c r="E594" s="38" t="s">
        <v>445</v>
      </c>
      <c r="F594" s="38" t="s">
        <v>443</v>
      </c>
      <c r="G594" s="5">
        <v>3</v>
      </c>
      <c r="H594" s="5" t="s">
        <v>395</v>
      </c>
      <c r="I594" s="156" t="s">
        <v>243</v>
      </c>
    </row>
    <row r="595" spans="1:9" x14ac:dyDescent="0.25">
      <c r="A595" s="15">
        <v>11</v>
      </c>
      <c r="B595" s="46">
        <v>0.63888888888888895</v>
      </c>
      <c r="C595" s="38">
        <v>1182</v>
      </c>
      <c r="D595" s="38" t="s">
        <v>97</v>
      </c>
      <c r="E595" s="38" t="s">
        <v>445</v>
      </c>
      <c r="F595" s="38" t="s">
        <v>446</v>
      </c>
      <c r="G595" s="5" t="s">
        <v>433</v>
      </c>
      <c r="H595" s="5" t="s">
        <v>395</v>
      </c>
      <c r="I595" s="157" t="s">
        <v>258</v>
      </c>
    </row>
    <row r="596" spans="1:9" ht="19.5" thickBot="1" x14ac:dyDescent="0.3">
      <c r="A596" s="173" t="s">
        <v>447</v>
      </c>
      <c r="B596" s="174"/>
      <c r="C596" s="174"/>
      <c r="D596" s="174"/>
      <c r="E596" s="174"/>
      <c r="F596" s="174"/>
      <c r="G596" s="174"/>
      <c r="H596" s="174"/>
      <c r="I596" s="175"/>
    </row>
    <row r="597" spans="1:9" ht="19.5" thickBot="1" x14ac:dyDescent="0.3"/>
    <row r="598" spans="1:9" x14ac:dyDescent="0.25">
      <c r="A598" s="14">
        <v>1</v>
      </c>
      <c r="B598" s="45">
        <v>0.76180555555555562</v>
      </c>
      <c r="C598" s="37">
        <v>1182</v>
      </c>
      <c r="D598" s="37"/>
      <c r="E598" s="37" t="s">
        <v>445</v>
      </c>
      <c r="F598" s="37" t="s">
        <v>448</v>
      </c>
      <c r="G598" s="151">
        <v>4</v>
      </c>
      <c r="H598" s="151" t="s">
        <v>395</v>
      </c>
      <c r="I598" s="155" t="s">
        <v>243</v>
      </c>
    </row>
    <row r="599" spans="1:9" x14ac:dyDescent="0.25">
      <c r="A599" s="182">
        <v>46112</v>
      </c>
      <c r="B599" s="183"/>
      <c r="C599" s="183"/>
      <c r="D599" s="183"/>
      <c r="E599" s="183"/>
      <c r="F599" s="183"/>
      <c r="G599" s="183"/>
      <c r="H599" s="183"/>
      <c r="I599" s="184"/>
    </row>
    <row r="600" spans="1:9" x14ac:dyDescent="0.25">
      <c r="A600" s="15">
        <v>2</v>
      </c>
      <c r="B600" s="46">
        <v>0.31944444444444448</v>
      </c>
      <c r="C600" s="38" t="s">
        <v>451</v>
      </c>
      <c r="D600" s="38" t="s">
        <v>97</v>
      </c>
      <c r="E600" s="38" t="s">
        <v>217</v>
      </c>
      <c r="F600" s="38" t="s">
        <v>313</v>
      </c>
      <c r="G600" s="5">
        <v>4</v>
      </c>
      <c r="H600" s="5" t="s">
        <v>395</v>
      </c>
      <c r="I600" s="156" t="s">
        <v>243</v>
      </c>
    </row>
    <row r="601" spans="1:9" x14ac:dyDescent="0.25">
      <c r="A601" s="15">
        <v>3</v>
      </c>
      <c r="B601" s="46">
        <v>0.41388888888888892</v>
      </c>
      <c r="C601" s="38">
        <v>1168</v>
      </c>
      <c r="D601" s="38"/>
      <c r="E601" s="38" t="s">
        <v>386</v>
      </c>
      <c r="F601" s="38" t="s">
        <v>282</v>
      </c>
      <c r="G601" s="5">
        <v>2</v>
      </c>
      <c r="H601" s="5" t="s">
        <v>395</v>
      </c>
      <c r="I601" s="156" t="s">
        <v>243</v>
      </c>
    </row>
    <row r="602" spans="1:9" x14ac:dyDescent="0.25">
      <c r="A602" s="15">
        <v>4</v>
      </c>
      <c r="B602" s="46">
        <v>0.41944444444444445</v>
      </c>
      <c r="C602" s="38">
        <v>1168</v>
      </c>
      <c r="D602" s="38"/>
      <c r="E602" s="38" t="s">
        <v>386</v>
      </c>
      <c r="F602" s="38" t="s">
        <v>282</v>
      </c>
      <c r="G602" s="5">
        <v>2</v>
      </c>
      <c r="H602" s="5" t="s">
        <v>395</v>
      </c>
      <c r="I602" s="156" t="s">
        <v>243</v>
      </c>
    </row>
    <row r="603" spans="1:9" x14ac:dyDescent="0.25">
      <c r="A603" s="22">
        <v>5</v>
      </c>
      <c r="B603" s="56">
        <v>0.56180555555555556</v>
      </c>
      <c r="C603" s="43"/>
      <c r="D603" s="43" t="s">
        <v>97</v>
      </c>
      <c r="E603" s="43" t="s">
        <v>271</v>
      </c>
      <c r="F603" s="43" t="s">
        <v>452</v>
      </c>
      <c r="G603" s="23" t="s">
        <v>234</v>
      </c>
      <c r="H603" s="23" t="s">
        <v>305</v>
      </c>
      <c r="I603" s="161" t="s">
        <v>243</v>
      </c>
    </row>
    <row r="604" spans="1:9" x14ac:dyDescent="0.25">
      <c r="A604" s="15">
        <v>6</v>
      </c>
      <c r="B604" s="46">
        <v>0.65694444444444444</v>
      </c>
      <c r="C604" s="38">
        <v>1001</v>
      </c>
      <c r="D604" s="38" t="s">
        <v>97</v>
      </c>
      <c r="E604" s="38" t="s">
        <v>38</v>
      </c>
      <c r="F604" s="38" t="s">
        <v>453</v>
      </c>
      <c r="G604" s="5" t="s">
        <v>454</v>
      </c>
      <c r="H604" s="5" t="s">
        <v>395</v>
      </c>
      <c r="I604" s="156" t="s">
        <v>258</v>
      </c>
    </row>
    <row r="605" spans="1:9" ht="19.5" thickBot="1" x14ac:dyDescent="0.3">
      <c r="A605" s="173" t="s">
        <v>455</v>
      </c>
      <c r="B605" s="174"/>
      <c r="C605" s="174"/>
      <c r="D605" s="174"/>
      <c r="E605" s="174"/>
      <c r="F605" s="174"/>
      <c r="G605" s="174"/>
      <c r="H605" s="174"/>
      <c r="I605" s="175"/>
    </row>
    <row r="606" spans="1:9" ht="19.5" thickBot="1" x14ac:dyDescent="0.3"/>
    <row r="607" spans="1:9" x14ac:dyDescent="0.25">
      <c r="A607" s="14">
        <v>1</v>
      </c>
      <c r="B607" s="45">
        <v>0.76250000000000007</v>
      </c>
      <c r="C607" s="37">
        <v>1169</v>
      </c>
      <c r="D607" s="37"/>
      <c r="E607" s="37" t="s">
        <v>309</v>
      </c>
      <c r="F607" s="37" t="s">
        <v>282</v>
      </c>
      <c r="G607" s="151">
        <v>2</v>
      </c>
      <c r="H607" s="151" t="s">
        <v>395</v>
      </c>
      <c r="I607" s="155" t="s">
        <v>357</v>
      </c>
    </row>
    <row r="608" spans="1:9" x14ac:dyDescent="0.25">
      <c r="A608" s="182">
        <v>46113</v>
      </c>
      <c r="B608" s="183"/>
      <c r="C608" s="183"/>
      <c r="D608" s="183"/>
      <c r="E608" s="183"/>
      <c r="F608" s="183"/>
      <c r="G608" s="183"/>
      <c r="H608" s="183"/>
      <c r="I608" s="184"/>
    </row>
    <row r="609" spans="1:9" x14ac:dyDescent="0.25">
      <c r="A609" s="15">
        <v>2</v>
      </c>
      <c r="B609" s="46">
        <v>0.37013888888888885</v>
      </c>
      <c r="C609" s="38">
        <v>970</v>
      </c>
      <c r="D609" s="38" t="s">
        <v>97</v>
      </c>
      <c r="E609" s="38" t="s">
        <v>429</v>
      </c>
      <c r="F609" s="38" t="s">
        <v>456</v>
      </c>
      <c r="G609" s="5">
        <v>6</v>
      </c>
      <c r="H609" s="5" t="s">
        <v>395</v>
      </c>
      <c r="I609" s="156" t="s">
        <v>357</v>
      </c>
    </row>
    <row r="610" spans="1:9" x14ac:dyDescent="0.25">
      <c r="A610" s="15">
        <v>3</v>
      </c>
      <c r="B610" s="46">
        <v>0.37291666666666662</v>
      </c>
      <c r="C610" s="38">
        <v>946</v>
      </c>
      <c r="D610" s="38" t="s">
        <v>10</v>
      </c>
      <c r="E610" s="38" t="s">
        <v>457</v>
      </c>
      <c r="F610" s="38" t="s">
        <v>458</v>
      </c>
      <c r="G610" s="5">
        <v>6</v>
      </c>
      <c r="H610" s="5" t="s">
        <v>395</v>
      </c>
      <c r="I610" s="156" t="s">
        <v>357</v>
      </c>
    </row>
    <row r="611" spans="1:9" x14ac:dyDescent="0.25">
      <c r="A611" s="22">
        <v>4</v>
      </c>
      <c r="B611" s="56">
        <v>0.49722222222222223</v>
      </c>
      <c r="C611" s="43"/>
      <c r="D611" s="43" t="s">
        <v>97</v>
      </c>
      <c r="E611" s="43" t="s">
        <v>38</v>
      </c>
      <c r="F611" s="43" t="s">
        <v>459</v>
      </c>
      <c r="G611" s="23" t="s">
        <v>113</v>
      </c>
      <c r="H611" s="23" t="s">
        <v>305</v>
      </c>
      <c r="I611" s="161" t="s">
        <v>357</v>
      </c>
    </row>
    <row r="612" spans="1:9" x14ac:dyDescent="0.25">
      <c r="A612" s="15">
        <v>5</v>
      </c>
      <c r="B612" s="46">
        <v>0.62708333333333333</v>
      </c>
      <c r="C612" s="38">
        <v>1169</v>
      </c>
      <c r="D612" s="38"/>
      <c r="E612" s="38" t="s">
        <v>309</v>
      </c>
      <c r="F612" s="38" t="s">
        <v>460</v>
      </c>
      <c r="G612" s="5">
        <v>1</v>
      </c>
      <c r="H612" s="5" t="s">
        <v>395</v>
      </c>
      <c r="I612" s="156" t="s">
        <v>357</v>
      </c>
    </row>
    <row r="613" spans="1:9" x14ac:dyDescent="0.25">
      <c r="A613" s="15">
        <v>6</v>
      </c>
      <c r="B613" s="46">
        <v>0.62847222222222221</v>
      </c>
      <c r="C613" s="38">
        <v>1052</v>
      </c>
      <c r="D613" s="38"/>
      <c r="E613" s="38" t="s">
        <v>422</v>
      </c>
      <c r="F613" s="38" t="s">
        <v>282</v>
      </c>
      <c r="G613" s="5">
        <v>3</v>
      </c>
      <c r="H613" s="5" t="s">
        <v>395</v>
      </c>
      <c r="I613" s="156" t="s">
        <v>357</v>
      </c>
    </row>
    <row r="614" spans="1:9" ht="19.5" thickBot="1" x14ac:dyDescent="0.3">
      <c r="A614" s="173" t="s">
        <v>461</v>
      </c>
      <c r="B614" s="174"/>
      <c r="C614" s="174"/>
      <c r="D614" s="174"/>
      <c r="E614" s="174"/>
      <c r="F614" s="174"/>
      <c r="G614" s="174"/>
      <c r="H614" s="174"/>
      <c r="I614" s="175"/>
    </row>
    <row r="615" spans="1:9" ht="19.5" thickBot="1" x14ac:dyDescent="0.3"/>
    <row r="616" spans="1:9" x14ac:dyDescent="0.25">
      <c r="A616" s="185">
        <v>46114</v>
      </c>
      <c r="B616" s="186"/>
      <c r="C616" s="186"/>
      <c r="D616" s="186"/>
      <c r="E616" s="186"/>
      <c r="F616" s="186"/>
      <c r="G616" s="186"/>
      <c r="H616" s="186"/>
      <c r="I616" s="187"/>
    </row>
    <row r="617" spans="1:9" x14ac:dyDescent="0.25">
      <c r="A617" s="15">
        <v>1</v>
      </c>
      <c r="B617" s="46">
        <v>0.16666666666666666</v>
      </c>
      <c r="C617" s="38">
        <v>984</v>
      </c>
      <c r="D617" s="38" t="s">
        <v>97</v>
      </c>
      <c r="E617" s="38" t="s">
        <v>25</v>
      </c>
      <c r="F617" s="38" t="s">
        <v>147</v>
      </c>
      <c r="G617" s="5">
        <v>14</v>
      </c>
      <c r="H617" s="5" t="s">
        <v>306</v>
      </c>
      <c r="I617" s="156" t="s">
        <v>357</v>
      </c>
    </row>
    <row r="618" spans="1:9" x14ac:dyDescent="0.25">
      <c r="A618" s="15">
        <v>2</v>
      </c>
      <c r="B618" s="46">
        <v>0.25</v>
      </c>
      <c r="C618" s="38">
        <v>1479</v>
      </c>
      <c r="D618" s="38" t="s">
        <v>97</v>
      </c>
      <c r="E618" s="38" t="s">
        <v>354</v>
      </c>
      <c r="F618" s="38" t="s">
        <v>435</v>
      </c>
      <c r="G618" s="5" t="s">
        <v>131</v>
      </c>
      <c r="H618" s="5" t="s">
        <v>306</v>
      </c>
      <c r="I618" s="156" t="s">
        <v>357</v>
      </c>
    </row>
    <row r="619" spans="1:9" x14ac:dyDescent="0.25">
      <c r="A619" s="15">
        <v>3</v>
      </c>
      <c r="B619" s="46">
        <v>0.3576388888888889</v>
      </c>
      <c r="C619" s="38">
        <v>1167</v>
      </c>
      <c r="D619" s="38"/>
      <c r="E619" s="38" t="s">
        <v>271</v>
      </c>
      <c r="F619" s="38" t="s">
        <v>315</v>
      </c>
      <c r="G619" s="5">
        <v>2</v>
      </c>
      <c r="H619" s="5" t="s">
        <v>306</v>
      </c>
      <c r="I619" s="156" t="s">
        <v>357</v>
      </c>
    </row>
    <row r="620" spans="1:9" x14ac:dyDescent="0.25">
      <c r="A620" s="15">
        <v>4</v>
      </c>
      <c r="B620" s="46">
        <v>0.5083333333333333</v>
      </c>
      <c r="C620" s="38">
        <v>1169</v>
      </c>
      <c r="D620" s="38"/>
      <c r="E620" s="38" t="s">
        <v>271</v>
      </c>
      <c r="F620" s="38" t="s">
        <v>282</v>
      </c>
      <c r="G620" s="5">
        <v>2</v>
      </c>
      <c r="H620" s="5" t="s">
        <v>306</v>
      </c>
      <c r="I620" s="156" t="s">
        <v>357</v>
      </c>
    </row>
    <row r="621" spans="1:9" x14ac:dyDescent="0.25">
      <c r="A621" s="15">
        <v>5</v>
      </c>
      <c r="B621" s="46">
        <v>0.52013888888888882</v>
      </c>
      <c r="C621" s="38">
        <v>1169</v>
      </c>
      <c r="D621" s="38"/>
      <c r="E621" s="38" t="s">
        <v>271</v>
      </c>
      <c r="F621" s="38" t="s">
        <v>315</v>
      </c>
      <c r="G621" s="5">
        <v>2</v>
      </c>
      <c r="H621" s="5" t="s">
        <v>306</v>
      </c>
      <c r="I621" s="156" t="s">
        <v>357</v>
      </c>
    </row>
    <row r="622" spans="1:9" x14ac:dyDescent="0.25">
      <c r="A622" s="15">
        <v>6</v>
      </c>
      <c r="B622" s="46">
        <v>0.53472222222222221</v>
      </c>
      <c r="C622" s="38">
        <v>1193</v>
      </c>
      <c r="D622" s="38" t="s">
        <v>97</v>
      </c>
      <c r="E622" s="38" t="s">
        <v>271</v>
      </c>
      <c r="F622" s="38" t="s">
        <v>462</v>
      </c>
      <c r="G622" s="5" t="s">
        <v>73</v>
      </c>
      <c r="H622" s="5" t="s">
        <v>306</v>
      </c>
      <c r="I622" s="156" t="s">
        <v>357</v>
      </c>
    </row>
    <row r="623" spans="1:9" ht="19.5" thickBot="1" x14ac:dyDescent="0.3">
      <c r="A623" s="173" t="s">
        <v>463</v>
      </c>
      <c r="B623" s="174"/>
      <c r="C623" s="174"/>
      <c r="D623" s="174"/>
      <c r="E623" s="174"/>
      <c r="F623" s="174"/>
      <c r="G623" s="174"/>
      <c r="H623" s="174"/>
      <c r="I623" s="175"/>
    </row>
    <row r="624" spans="1:9" ht="19.5" thickBot="1" x14ac:dyDescent="0.3"/>
    <row r="625" spans="1:9" x14ac:dyDescent="0.25">
      <c r="A625" s="14">
        <v>1</v>
      </c>
      <c r="B625" s="45">
        <v>0.96458333333333324</v>
      </c>
      <c r="C625" s="37" t="s">
        <v>464</v>
      </c>
      <c r="D625" s="37" t="s">
        <v>97</v>
      </c>
      <c r="E625" s="37" t="s">
        <v>405</v>
      </c>
      <c r="F625" s="37" t="s">
        <v>465</v>
      </c>
      <c r="G625" s="151" t="s">
        <v>466</v>
      </c>
      <c r="H625" s="151" t="s">
        <v>280</v>
      </c>
      <c r="I625" s="155" t="s">
        <v>243</v>
      </c>
    </row>
    <row r="626" spans="1:9" x14ac:dyDescent="0.25">
      <c r="A626" s="182">
        <v>46115</v>
      </c>
      <c r="B626" s="183"/>
      <c r="C626" s="183"/>
      <c r="D626" s="183"/>
      <c r="E626" s="183"/>
      <c r="F626" s="183"/>
      <c r="G626" s="183"/>
      <c r="H626" s="183"/>
      <c r="I626" s="184"/>
    </row>
    <row r="627" spans="1:9" x14ac:dyDescent="0.25">
      <c r="A627" s="15">
        <v>2</v>
      </c>
      <c r="B627" s="46">
        <v>0.25</v>
      </c>
      <c r="C627" s="38">
        <v>1035</v>
      </c>
      <c r="D627" s="38" t="s">
        <v>10</v>
      </c>
      <c r="E627" s="38" t="s">
        <v>467</v>
      </c>
      <c r="F627" s="38" t="s">
        <v>313</v>
      </c>
      <c r="G627" s="5">
        <v>2</v>
      </c>
      <c r="H627" s="5" t="s">
        <v>280</v>
      </c>
      <c r="I627" s="156" t="s">
        <v>243</v>
      </c>
    </row>
    <row r="628" spans="1:9" x14ac:dyDescent="0.25">
      <c r="A628" s="15">
        <v>3</v>
      </c>
      <c r="B628" s="46">
        <v>0.25347222222222221</v>
      </c>
      <c r="C628" s="38">
        <v>1036</v>
      </c>
      <c r="D628" s="38" t="s">
        <v>10</v>
      </c>
      <c r="E628" s="38" t="s">
        <v>467</v>
      </c>
      <c r="F628" s="38" t="s">
        <v>313</v>
      </c>
      <c r="G628" s="5">
        <v>3</v>
      </c>
      <c r="H628" s="5" t="s">
        <v>280</v>
      </c>
      <c r="I628" s="156" t="s">
        <v>243</v>
      </c>
    </row>
    <row r="629" spans="1:9" x14ac:dyDescent="0.25">
      <c r="A629" s="15">
        <v>4</v>
      </c>
      <c r="B629" s="46">
        <v>0.38194444444444442</v>
      </c>
      <c r="C629" s="38">
        <v>473</v>
      </c>
      <c r="D629" s="38"/>
      <c r="E629" s="38" t="s">
        <v>309</v>
      </c>
      <c r="F629" s="38" t="s">
        <v>315</v>
      </c>
      <c r="G629" s="5">
        <v>2</v>
      </c>
      <c r="H629" s="5" t="s">
        <v>280</v>
      </c>
      <c r="I629" s="156" t="s">
        <v>243</v>
      </c>
    </row>
    <row r="630" spans="1:9" x14ac:dyDescent="0.25">
      <c r="A630" s="15">
        <v>5</v>
      </c>
      <c r="B630" s="46">
        <v>0.3840277777777778</v>
      </c>
      <c r="C630" s="38">
        <v>190</v>
      </c>
      <c r="D630" s="38" t="s">
        <v>97</v>
      </c>
      <c r="E630" s="38" t="s">
        <v>468</v>
      </c>
      <c r="F630" s="38" t="s">
        <v>469</v>
      </c>
      <c r="G630" s="5">
        <v>10</v>
      </c>
      <c r="H630" s="5" t="s">
        <v>280</v>
      </c>
      <c r="I630" s="156" t="s">
        <v>243</v>
      </c>
    </row>
    <row r="631" spans="1:9" x14ac:dyDescent="0.25">
      <c r="A631" s="15">
        <v>6</v>
      </c>
      <c r="B631" s="46">
        <v>0.38541666666666669</v>
      </c>
      <c r="C631" s="38">
        <v>373</v>
      </c>
      <c r="D631" s="38" t="s">
        <v>97</v>
      </c>
      <c r="E631" s="38" t="s">
        <v>470</v>
      </c>
      <c r="F631" s="38" t="s">
        <v>329</v>
      </c>
      <c r="G631" s="5" t="s">
        <v>201</v>
      </c>
      <c r="H631" s="5" t="s">
        <v>280</v>
      </c>
      <c r="I631" s="157" t="s">
        <v>258</v>
      </c>
    </row>
    <row r="632" spans="1:9" x14ac:dyDescent="0.25">
      <c r="A632" s="15">
        <v>7</v>
      </c>
      <c r="B632" s="46">
        <v>0.3888888888888889</v>
      </c>
      <c r="C632" s="38">
        <v>169</v>
      </c>
      <c r="D632" s="38" t="s">
        <v>97</v>
      </c>
      <c r="E632" s="38" t="s">
        <v>471</v>
      </c>
      <c r="F632" s="38" t="s">
        <v>303</v>
      </c>
      <c r="G632" s="5" t="s">
        <v>433</v>
      </c>
      <c r="H632" s="5" t="s">
        <v>280</v>
      </c>
      <c r="I632" s="157" t="s">
        <v>258</v>
      </c>
    </row>
    <row r="633" spans="1:9" x14ac:dyDescent="0.25">
      <c r="A633" s="15">
        <v>8</v>
      </c>
      <c r="B633" s="46">
        <v>0.39305555555555555</v>
      </c>
      <c r="C633" s="38">
        <v>373</v>
      </c>
      <c r="D633" s="38"/>
      <c r="E633" s="38" t="s">
        <v>470</v>
      </c>
      <c r="F633" s="38" t="s">
        <v>472</v>
      </c>
      <c r="G633" s="5">
        <v>2</v>
      </c>
      <c r="H633" s="5" t="s">
        <v>280</v>
      </c>
      <c r="I633" s="156" t="s">
        <v>243</v>
      </c>
    </row>
    <row r="634" spans="1:9" x14ac:dyDescent="0.25">
      <c r="A634" s="22">
        <v>9</v>
      </c>
      <c r="B634" s="56">
        <v>0.3979166666666667</v>
      </c>
      <c r="C634" s="43"/>
      <c r="D634" s="43" t="s">
        <v>97</v>
      </c>
      <c r="E634" s="43" t="s">
        <v>468</v>
      </c>
      <c r="F634" s="43" t="s">
        <v>474</v>
      </c>
      <c r="G634" s="23" t="s">
        <v>234</v>
      </c>
      <c r="H634" s="23" t="s">
        <v>305</v>
      </c>
      <c r="I634" s="161" t="s">
        <v>243</v>
      </c>
    </row>
    <row r="635" spans="1:9" x14ac:dyDescent="0.25">
      <c r="A635" s="15">
        <v>10</v>
      </c>
      <c r="B635" s="46">
        <v>0.53472222222222221</v>
      </c>
      <c r="C635" s="38">
        <v>631</v>
      </c>
      <c r="D635" s="38"/>
      <c r="E635" s="38" t="s">
        <v>11</v>
      </c>
      <c r="F635" s="38" t="s">
        <v>282</v>
      </c>
      <c r="G635" s="5">
        <v>2</v>
      </c>
      <c r="H635" s="5" t="s">
        <v>280</v>
      </c>
      <c r="I635" s="156" t="s">
        <v>243</v>
      </c>
    </row>
    <row r="636" spans="1:9" x14ac:dyDescent="0.25">
      <c r="A636" s="15">
        <v>11</v>
      </c>
      <c r="B636" s="46">
        <v>0.53888888888888886</v>
      </c>
      <c r="C636" s="38" t="s">
        <v>475</v>
      </c>
      <c r="D636" s="38" t="s">
        <v>97</v>
      </c>
      <c r="E636" s="38" t="s">
        <v>476</v>
      </c>
      <c r="F636" s="38" t="s">
        <v>477</v>
      </c>
      <c r="G636" s="5" t="s">
        <v>158</v>
      </c>
      <c r="H636" s="5" t="s">
        <v>280</v>
      </c>
      <c r="I636" s="157" t="s">
        <v>258</v>
      </c>
    </row>
    <row r="637" spans="1:9" x14ac:dyDescent="0.25">
      <c r="A637" s="15">
        <v>12</v>
      </c>
      <c r="B637" s="46">
        <v>0.5395833333333333</v>
      </c>
      <c r="C637" s="38" t="s">
        <v>475</v>
      </c>
      <c r="D637" s="38" t="s">
        <v>97</v>
      </c>
      <c r="E637" s="38" t="s">
        <v>476</v>
      </c>
      <c r="F637" s="38" t="s">
        <v>478</v>
      </c>
      <c r="G637" s="5" t="s">
        <v>479</v>
      </c>
      <c r="H637" s="5" t="s">
        <v>280</v>
      </c>
      <c r="I637" s="157" t="s">
        <v>258</v>
      </c>
    </row>
    <row r="638" spans="1:9" x14ac:dyDescent="0.25">
      <c r="A638" s="22">
        <v>13</v>
      </c>
      <c r="B638" s="56">
        <v>0.56319444444444444</v>
      </c>
      <c r="C638" s="43"/>
      <c r="D638" s="43" t="s">
        <v>97</v>
      </c>
      <c r="E638" s="43" t="s">
        <v>480</v>
      </c>
      <c r="F638" s="43" t="s">
        <v>481</v>
      </c>
      <c r="G638" s="23" t="s">
        <v>234</v>
      </c>
      <c r="H638" s="23" t="s">
        <v>305</v>
      </c>
      <c r="I638" s="161" t="s">
        <v>243</v>
      </c>
    </row>
    <row r="639" spans="1:9" ht="19.5" thickBot="1" x14ac:dyDescent="0.3">
      <c r="A639" s="173" t="s">
        <v>482</v>
      </c>
      <c r="B639" s="174"/>
      <c r="C639" s="174"/>
      <c r="D639" s="174"/>
      <c r="E639" s="174"/>
      <c r="F639" s="174"/>
      <c r="G639" s="174"/>
      <c r="H639" s="174"/>
      <c r="I639" s="175"/>
    </row>
    <row r="640" spans="1:9" ht="19.5" thickBot="1" x14ac:dyDescent="0.3"/>
    <row r="641" spans="1:10" x14ac:dyDescent="0.25">
      <c r="A641" s="176">
        <v>46116</v>
      </c>
      <c r="B641" s="177"/>
      <c r="C641" s="177"/>
      <c r="D641" s="177"/>
      <c r="E641" s="177"/>
      <c r="F641" s="177"/>
      <c r="G641" s="177"/>
      <c r="H641" s="177"/>
      <c r="I641" s="178"/>
    </row>
    <row r="642" spans="1:10" x14ac:dyDescent="0.25">
      <c r="A642" s="22">
        <v>1</v>
      </c>
      <c r="B642" s="56">
        <v>0.85625000000000007</v>
      </c>
      <c r="C642" s="43">
        <v>136</v>
      </c>
      <c r="D642" s="43" t="s">
        <v>97</v>
      </c>
      <c r="E642" s="43" t="s">
        <v>47</v>
      </c>
      <c r="F642" s="43" t="s">
        <v>329</v>
      </c>
      <c r="G642" s="23" t="s">
        <v>236</v>
      </c>
      <c r="H642" s="23" t="s">
        <v>483</v>
      </c>
      <c r="I642" s="161" t="s">
        <v>243</v>
      </c>
    </row>
    <row r="643" spans="1:10" x14ac:dyDescent="0.25">
      <c r="A643" s="15">
        <v>2</v>
      </c>
      <c r="B643" s="46">
        <v>0.4291666666666667</v>
      </c>
      <c r="C643" s="38">
        <v>612</v>
      </c>
      <c r="D643" s="38"/>
      <c r="E643" s="38" t="s">
        <v>484</v>
      </c>
      <c r="F643" s="38" t="s">
        <v>485</v>
      </c>
      <c r="G643" s="5">
        <v>3</v>
      </c>
      <c r="H643" s="5" t="s">
        <v>395</v>
      </c>
      <c r="I643" s="156" t="s">
        <v>243</v>
      </c>
    </row>
    <row r="644" spans="1:10" x14ac:dyDescent="0.25">
      <c r="A644" s="22">
        <v>3</v>
      </c>
      <c r="B644" s="56">
        <v>0.4770833333333333</v>
      </c>
      <c r="C644" s="43"/>
      <c r="D644" s="43" t="s">
        <v>97</v>
      </c>
      <c r="E644" s="43" t="s">
        <v>18</v>
      </c>
      <c r="F644" s="43" t="s">
        <v>486</v>
      </c>
      <c r="G644" s="23" t="s">
        <v>113</v>
      </c>
      <c r="H644" s="23" t="s">
        <v>305</v>
      </c>
      <c r="I644" s="161" t="s">
        <v>243</v>
      </c>
      <c r="J644" s="2"/>
    </row>
    <row r="645" spans="1:10" x14ac:dyDescent="0.25">
      <c r="A645" s="22">
        <v>4</v>
      </c>
      <c r="B645" s="56">
        <v>0.4236111111111111</v>
      </c>
      <c r="C645" s="43"/>
      <c r="D645" s="43" t="s">
        <v>252</v>
      </c>
      <c r="E645" s="43" t="s">
        <v>30</v>
      </c>
      <c r="F645" s="43" t="s">
        <v>487</v>
      </c>
      <c r="G645" s="23" t="s">
        <v>488</v>
      </c>
      <c r="H645" s="23" t="s">
        <v>305</v>
      </c>
      <c r="I645" s="161" t="s">
        <v>489</v>
      </c>
    </row>
    <row r="646" spans="1:10" x14ac:dyDescent="0.25">
      <c r="A646" s="15">
        <v>5</v>
      </c>
      <c r="B646" s="46">
        <v>0.56944444444444442</v>
      </c>
      <c r="C646" s="38"/>
      <c r="D646" s="38" t="s">
        <v>97</v>
      </c>
      <c r="E646" s="38" t="s">
        <v>468</v>
      </c>
      <c r="F646" s="38" t="s">
        <v>469</v>
      </c>
      <c r="G646" s="5" t="s">
        <v>407</v>
      </c>
      <c r="H646" s="5" t="s">
        <v>395</v>
      </c>
      <c r="I646" s="156" t="s">
        <v>258</v>
      </c>
    </row>
    <row r="647" spans="1:10" ht="19.5" thickBot="1" x14ac:dyDescent="0.3">
      <c r="A647" s="173" t="s">
        <v>490</v>
      </c>
      <c r="B647" s="174"/>
      <c r="C647" s="174"/>
      <c r="D647" s="174"/>
      <c r="E647" s="174"/>
      <c r="F647" s="174"/>
      <c r="G647" s="174"/>
      <c r="H647" s="174"/>
      <c r="I647" s="175"/>
    </row>
    <row r="648" spans="1:10" ht="19.5" thickBot="1" x14ac:dyDescent="0.3"/>
    <row r="649" spans="1:10" x14ac:dyDescent="0.25">
      <c r="A649" s="14">
        <v>1</v>
      </c>
      <c r="B649" s="45">
        <v>0.68680555555555556</v>
      </c>
      <c r="C649" s="37">
        <v>384</v>
      </c>
      <c r="D649" s="37" t="s">
        <v>97</v>
      </c>
      <c r="E649" s="37" t="s">
        <v>491</v>
      </c>
      <c r="F649" s="37" t="s">
        <v>492</v>
      </c>
      <c r="G649" s="151">
        <v>2</v>
      </c>
      <c r="H649" s="151" t="s">
        <v>395</v>
      </c>
      <c r="I649" s="155" t="s">
        <v>357</v>
      </c>
    </row>
    <row r="650" spans="1:10" x14ac:dyDescent="0.25">
      <c r="A650" s="15">
        <v>2</v>
      </c>
      <c r="B650" s="46">
        <v>0.80902777777777779</v>
      </c>
      <c r="C650" s="38">
        <v>89</v>
      </c>
      <c r="D650" s="38" t="s">
        <v>97</v>
      </c>
      <c r="E650" s="38" t="s">
        <v>397</v>
      </c>
      <c r="F650" s="38" t="s">
        <v>493</v>
      </c>
      <c r="G650" s="5">
        <v>1</v>
      </c>
      <c r="H650" s="5" t="s">
        <v>395</v>
      </c>
      <c r="I650" s="156" t="s">
        <v>357</v>
      </c>
    </row>
    <row r="651" spans="1:10" x14ac:dyDescent="0.25">
      <c r="A651" s="15">
        <v>3</v>
      </c>
      <c r="B651" s="46">
        <v>0.81180555555555556</v>
      </c>
      <c r="C651" s="38">
        <v>89</v>
      </c>
      <c r="D651" s="38" t="s">
        <v>97</v>
      </c>
      <c r="E651" s="38" t="s">
        <v>397</v>
      </c>
      <c r="F651" s="38" t="s">
        <v>494</v>
      </c>
      <c r="G651" s="5">
        <v>2</v>
      </c>
      <c r="H651" s="5" t="s">
        <v>395</v>
      </c>
      <c r="I651" s="156" t="s">
        <v>357</v>
      </c>
    </row>
    <row r="652" spans="1:10" x14ac:dyDescent="0.25">
      <c r="A652" s="179">
        <v>46117</v>
      </c>
      <c r="B652" s="180"/>
      <c r="C652" s="180"/>
      <c r="D652" s="180"/>
      <c r="E652" s="180"/>
      <c r="F652" s="180"/>
      <c r="G652" s="180"/>
      <c r="H652" s="180"/>
      <c r="I652" s="181"/>
    </row>
    <row r="653" spans="1:10" x14ac:dyDescent="0.25">
      <c r="A653" s="22">
        <v>4</v>
      </c>
      <c r="B653" s="56">
        <v>3.1944444444444449E-2</v>
      </c>
      <c r="C653" s="43">
        <v>667</v>
      </c>
      <c r="D653" s="43" t="s">
        <v>97</v>
      </c>
      <c r="E653" s="43" t="s">
        <v>188</v>
      </c>
      <c r="F653" s="43" t="s">
        <v>495</v>
      </c>
      <c r="G653" s="23" t="s">
        <v>496</v>
      </c>
      <c r="H653" s="23" t="s">
        <v>305</v>
      </c>
      <c r="I653" s="161" t="s">
        <v>357</v>
      </c>
    </row>
    <row r="654" spans="1:10" x14ac:dyDescent="0.25">
      <c r="A654" s="15">
        <v>5</v>
      </c>
      <c r="B654" s="46">
        <v>0.2986111111111111</v>
      </c>
      <c r="C654" s="38">
        <v>403</v>
      </c>
      <c r="D654" s="38" t="s">
        <v>97</v>
      </c>
      <c r="E654" s="38" t="s">
        <v>30</v>
      </c>
      <c r="F654" s="38" t="s">
        <v>477</v>
      </c>
      <c r="G654" s="5">
        <v>4</v>
      </c>
      <c r="H654" s="5" t="s">
        <v>395</v>
      </c>
      <c r="I654" s="156" t="s">
        <v>357</v>
      </c>
    </row>
    <row r="655" spans="1:10" x14ac:dyDescent="0.25">
      <c r="A655" s="15">
        <v>6</v>
      </c>
      <c r="B655" s="46">
        <v>0.30972222222222223</v>
      </c>
      <c r="C655" s="38">
        <v>468</v>
      </c>
      <c r="D655" s="38"/>
      <c r="E655" s="38" t="s">
        <v>307</v>
      </c>
      <c r="F655" s="38" t="s">
        <v>497</v>
      </c>
      <c r="G655" s="5">
        <v>2</v>
      </c>
      <c r="H655" s="5" t="s">
        <v>395</v>
      </c>
      <c r="I655" s="156" t="s">
        <v>357</v>
      </c>
    </row>
    <row r="656" spans="1:10" x14ac:dyDescent="0.25">
      <c r="A656" s="15">
        <v>7</v>
      </c>
      <c r="B656" s="46">
        <v>0.35000000000000003</v>
      </c>
      <c r="C656" s="38">
        <v>76</v>
      </c>
      <c r="D656" s="38"/>
      <c r="E656" s="38" t="s">
        <v>498</v>
      </c>
      <c r="F656" s="38" t="s">
        <v>497</v>
      </c>
      <c r="G656" s="5">
        <v>2</v>
      </c>
      <c r="H656" s="5" t="s">
        <v>395</v>
      </c>
      <c r="I656" s="156" t="s">
        <v>357</v>
      </c>
    </row>
    <row r="657" spans="1:9" x14ac:dyDescent="0.25">
      <c r="A657" s="15">
        <v>8</v>
      </c>
      <c r="B657" s="46">
        <v>0.35138888888888892</v>
      </c>
      <c r="C657" s="38">
        <v>76</v>
      </c>
      <c r="D657" s="38"/>
      <c r="E657" s="38" t="s">
        <v>498</v>
      </c>
      <c r="F657" s="38" t="s">
        <v>310</v>
      </c>
      <c r="G657" s="5">
        <v>3</v>
      </c>
      <c r="H657" s="5" t="s">
        <v>395</v>
      </c>
      <c r="I657" s="156" t="s">
        <v>357</v>
      </c>
    </row>
    <row r="658" spans="1:9" x14ac:dyDescent="0.25">
      <c r="A658" s="22">
        <v>9</v>
      </c>
      <c r="B658" s="56">
        <v>0.34791666666666665</v>
      </c>
      <c r="C658" s="43"/>
      <c r="D658" s="43" t="s">
        <v>97</v>
      </c>
      <c r="E658" s="43" t="s">
        <v>499</v>
      </c>
      <c r="F658" s="43" t="s">
        <v>473</v>
      </c>
      <c r="G658" s="23" t="s">
        <v>113</v>
      </c>
      <c r="H658" s="23" t="s">
        <v>305</v>
      </c>
      <c r="I658" s="161" t="s">
        <v>357</v>
      </c>
    </row>
    <row r="659" spans="1:9" x14ac:dyDescent="0.25">
      <c r="A659" s="15">
        <v>10</v>
      </c>
      <c r="B659" s="46">
        <v>0.52777777777777779</v>
      </c>
      <c r="C659" s="38">
        <v>466</v>
      </c>
      <c r="D659" s="38" t="s">
        <v>97</v>
      </c>
      <c r="E659" s="38" t="s">
        <v>445</v>
      </c>
      <c r="F659" s="38" t="s">
        <v>500</v>
      </c>
      <c r="G659" s="5" t="s">
        <v>86</v>
      </c>
      <c r="H659" s="5" t="s">
        <v>395</v>
      </c>
      <c r="I659" s="157" t="s">
        <v>258</v>
      </c>
    </row>
    <row r="660" spans="1:9" x14ac:dyDescent="0.25">
      <c r="A660" s="15">
        <v>11</v>
      </c>
      <c r="B660" s="46">
        <v>0.52847222222222223</v>
      </c>
      <c r="C660" s="38">
        <v>466</v>
      </c>
      <c r="D660" s="38" t="s">
        <v>97</v>
      </c>
      <c r="E660" s="38" t="s">
        <v>445</v>
      </c>
      <c r="F660" s="38" t="s">
        <v>501</v>
      </c>
      <c r="G660" s="5" t="s">
        <v>86</v>
      </c>
      <c r="H660" s="5" t="s">
        <v>395</v>
      </c>
      <c r="I660" s="157" t="s">
        <v>258</v>
      </c>
    </row>
    <row r="661" spans="1:9" x14ac:dyDescent="0.25">
      <c r="A661" s="15">
        <v>12</v>
      </c>
      <c r="B661" s="46">
        <v>0.52986111111111112</v>
      </c>
      <c r="C661" s="38" t="s">
        <v>502</v>
      </c>
      <c r="D661" s="38" t="s">
        <v>97</v>
      </c>
      <c r="E661" s="38" t="s">
        <v>445</v>
      </c>
      <c r="F661" s="38" t="s">
        <v>339</v>
      </c>
      <c r="G661" s="5" t="s">
        <v>119</v>
      </c>
      <c r="H661" s="5" t="s">
        <v>395</v>
      </c>
      <c r="I661" s="157" t="s">
        <v>258</v>
      </c>
    </row>
    <row r="662" spans="1:9" x14ac:dyDescent="0.25">
      <c r="A662" s="22">
        <v>13</v>
      </c>
      <c r="B662" s="56">
        <v>0.57708333333333328</v>
      </c>
      <c r="C662" s="43"/>
      <c r="D662" s="43" t="s">
        <v>97</v>
      </c>
      <c r="E662" s="43" t="s">
        <v>271</v>
      </c>
      <c r="F662" s="43" t="s">
        <v>503</v>
      </c>
      <c r="G662" s="23" t="s">
        <v>113</v>
      </c>
      <c r="H662" s="23" t="s">
        <v>305</v>
      </c>
      <c r="I662" s="161" t="s">
        <v>357</v>
      </c>
    </row>
    <row r="663" spans="1:9" ht="19.5" thickBot="1" x14ac:dyDescent="0.3">
      <c r="A663" s="173" t="s">
        <v>504</v>
      </c>
      <c r="B663" s="174"/>
      <c r="C663" s="174"/>
      <c r="D663" s="174"/>
      <c r="E663" s="174"/>
      <c r="F663" s="174"/>
      <c r="G663" s="174"/>
      <c r="H663" s="174"/>
      <c r="I663" s="175"/>
    </row>
    <row r="664" spans="1:9" ht="19.5" thickBot="1" x14ac:dyDescent="0.3"/>
    <row r="665" spans="1:9" x14ac:dyDescent="0.25">
      <c r="A665" s="176">
        <v>46118</v>
      </c>
      <c r="B665" s="177"/>
      <c r="C665" s="177"/>
      <c r="D665" s="177"/>
      <c r="E665" s="177"/>
      <c r="F665" s="177"/>
      <c r="G665" s="177"/>
      <c r="H665" s="177"/>
      <c r="I665" s="178"/>
    </row>
    <row r="666" spans="1:9" x14ac:dyDescent="0.25">
      <c r="A666" s="22">
        <v>1</v>
      </c>
      <c r="B666" s="56">
        <v>3.5416666666666666E-2</v>
      </c>
      <c r="C666" s="43">
        <v>419</v>
      </c>
      <c r="D666" s="43" t="s">
        <v>97</v>
      </c>
      <c r="E666" s="43" t="s">
        <v>228</v>
      </c>
      <c r="F666" s="43" t="s">
        <v>276</v>
      </c>
      <c r="G666" s="24" t="s">
        <v>505</v>
      </c>
      <c r="H666" s="23" t="s">
        <v>305</v>
      </c>
      <c r="I666" s="161" t="s">
        <v>357</v>
      </c>
    </row>
    <row r="667" spans="1:9" x14ac:dyDescent="0.25">
      <c r="A667" s="15">
        <v>2</v>
      </c>
      <c r="B667" s="46">
        <v>0.33611111111111108</v>
      </c>
      <c r="C667" s="38">
        <v>459</v>
      </c>
      <c r="D667" s="38"/>
      <c r="E667" s="38" t="s">
        <v>445</v>
      </c>
      <c r="F667" s="38" t="s">
        <v>282</v>
      </c>
      <c r="G667" s="5">
        <v>2</v>
      </c>
      <c r="H667" s="5" t="s">
        <v>306</v>
      </c>
      <c r="I667" s="156" t="s">
        <v>357</v>
      </c>
    </row>
    <row r="668" spans="1:9" x14ac:dyDescent="0.25">
      <c r="A668" s="22">
        <v>3</v>
      </c>
      <c r="B668" s="56">
        <v>0.36874999999999997</v>
      </c>
      <c r="C668" s="43"/>
      <c r="D668" s="43" t="s">
        <v>97</v>
      </c>
      <c r="E668" s="43" t="s">
        <v>271</v>
      </c>
      <c r="F668" s="43" t="s">
        <v>506</v>
      </c>
      <c r="G668" s="23" t="s">
        <v>113</v>
      </c>
      <c r="H668" s="23" t="s">
        <v>305</v>
      </c>
      <c r="I668" s="161" t="s">
        <v>357</v>
      </c>
    </row>
    <row r="669" spans="1:9" x14ac:dyDescent="0.25">
      <c r="A669" s="15">
        <v>4</v>
      </c>
      <c r="B669" s="46">
        <v>0.65555555555555556</v>
      </c>
      <c r="C669" s="38">
        <v>635</v>
      </c>
      <c r="D669" s="38" t="s">
        <v>97</v>
      </c>
      <c r="E669" s="38" t="s">
        <v>11</v>
      </c>
      <c r="F669" s="38" t="s">
        <v>380</v>
      </c>
      <c r="G669" s="5" t="s">
        <v>158</v>
      </c>
      <c r="H669" s="5" t="s">
        <v>306</v>
      </c>
      <c r="I669" s="157" t="s">
        <v>383</v>
      </c>
    </row>
    <row r="670" spans="1:9" ht="19.5" thickBot="1" x14ac:dyDescent="0.3">
      <c r="A670" s="173" t="s">
        <v>507</v>
      </c>
      <c r="B670" s="174"/>
      <c r="C670" s="174"/>
      <c r="D670" s="174"/>
      <c r="E670" s="174"/>
      <c r="F670" s="174"/>
      <c r="G670" s="174"/>
      <c r="H670" s="174"/>
      <c r="I670" s="175"/>
    </row>
    <row r="671" spans="1:9" ht="19.5" thickBot="1" x14ac:dyDescent="0.3"/>
    <row r="672" spans="1:9" x14ac:dyDescent="0.25">
      <c r="A672" s="176">
        <v>46119</v>
      </c>
      <c r="B672" s="177"/>
      <c r="C672" s="177"/>
      <c r="D672" s="177"/>
      <c r="E672" s="177"/>
      <c r="F672" s="177"/>
      <c r="G672" s="177"/>
      <c r="H672" s="177"/>
      <c r="I672" s="178"/>
    </row>
    <row r="673" spans="1:9" x14ac:dyDescent="0.25">
      <c r="A673" s="22">
        <v>1</v>
      </c>
      <c r="B673" s="56">
        <v>5.5555555555555552E-2</v>
      </c>
      <c r="C673" s="43">
        <v>419</v>
      </c>
      <c r="D673" s="43" t="s">
        <v>97</v>
      </c>
      <c r="E673" s="43" t="s">
        <v>228</v>
      </c>
      <c r="F673" s="43" t="s">
        <v>276</v>
      </c>
      <c r="G673" s="23" t="s">
        <v>236</v>
      </c>
      <c r="H673" s="23" t="s">
        <v>305</v>
      </c>
      <c r="I673" s="161" t="s">
        <v>357</v>
      </c>
    </row>
    <row r="674" spans="1:9" x14ac:dyDescent="0.25">
      <c r="A674" s="15">
        <v>2</v>
      </c>
      <c r="B674" s="46">
        <v>0.32361111111111113</v>
      </c>
      <c r="C674" s="38">
        <v>437</v>
      </c>
      <c r="D674" s="38"/>
      <c r="E674" s="38" t="s">
        <v>217</v>
      </c>
      <c r="F674" s="38" t="s">
        <v>310</v>
      </c>
      <c r="G674" s="5">
        <v>2</v>
      </c>
      <c r="H674" s="5" t="s">
        <v>395</v>
      </c>
      <c r="I674" s="156" t="s">
        <v>357</v>
      </c>
    </row>
    <row r="675" spans="1:9" x14ac:dyDescent="0.25">
      <c r="A675" s="22">
        <v>3</v>
      </c>
      <c r="B675" s="56">
        <v>0.35625000000000001</v>
      </c>
      <c r="C675" s="43"/>
      <c r="D675" s="43" t="s">
        <v>97</v>
      </c>
      <c r="E675" s="43" t="s">
        <v>206</v>
      </c>
      <c r="F675" s="43" t="s">
        <v>511</v>
      </c>
      <c r="G675" s="23" t="s">
        <v>113</v>
      </c>
      <c r="H675" s="23" t="s">
        <v>305</v>
      </c>
      <c r="I675" s="161" t="s">
        <v>357</v>
      </c>
    </row>
    <row r="676" spans="1:9" x14ac:dyDescent="0.25">
      <c r="A676" s="15">
        <v>4</v>
      </c>
      <c r="B676" s="46">
        <v>0.62708333333333333</v>
      </c>
      <c r="C676" s="38">
        <v>439</v>
      </c>
      <c r="D676" s="38"/>
      <c r="E676" s="38" t="s">
        <v>217</v>
      </c>
      <c r="F676" s="38" t="s">
        <v>310</v>
      </c>
      <c r="G676" s="5">
        <v>5</v>
      </c>
      <c r="H676" s="5" t="s">
        <v>395</v>
      </c>
      <c r="I676" s="156" t="s">
        <v>357</v>
      </c>
    </row>
    <row r="677" spans="1:9" ht="19.5" thickBot="1" x14ac:dyDescent="0.3">
      <c r="A677" s="173" t="s">
        <v>516</v>
      </c>
      <c r="B677" s="174"/>
      <c r="C677" s="174"/>
      <c r="D677" s="174"/>
      <c r="E677" s="174"/>
      <c r="F677" s="174"/>
      <c r="G677" s="174"/>
      <c r="H677" s="174"/>
      <c r="I677" s="175"/>
    </row>
    <row r="678" spans="1:9" ht="19.5" thickBot="1" x14ac:dyDescent="0.3"/>
    <row r="679" spans="1:9" x14ac:dyDescent="0.25">
      <c r="A679" s="14">
        <v>1</v>
      </c>
      <c r="B679" s="45">
        <v>0.72986111111111107</v>
      </c>
      <c r="C679" s="37">
        <v>439</v>
      </c>
      <c r="D679" s="37"/>
      <c r="E679" s="37" t="s">
        <v>217</v>
      </c>
      <c r="F679" s="37" t="s">
        <v>310</v>
      </c>
      <c r="G679" s="151">
        <v>5</v>
      </c>
      <c r="H679" s="151" t="s">
        <v>395</v>
      </c>
      <c r="I679" s="155" t="s">
        <v>357</v>
      </c>
    </row>
    <row r="680" spans="1:9" x14ac:dyDescent="0.25">
      <c r="A680" s="15">
        <v>2</v>
      </c>
      <c r="B680" s="46">
        <v>0.78472222222222221</v>
      </c>
      <c r="C680" s="38">
        <v>468</v>
      </c>
      <c r="D680" s="38"/>
      <c r="E680" s="38" t="s">
        <v>307</v>
      </c>
      <c r="F680" s="38" t="s">
        <v>517</v>
      </c>
      <c r="G680" s="5">
        <v>1</v>
      </c>
      <c r="H680" s="5" t="s">
        <v>395</v>
      </c>
      <c r="I680" s="156" t="s">
        <v>357</v>
      </c>
    </row>
    <row r="681" spans="1:9" x14ac:dyDescent="0.25">
      <c r="A681" s="15">
        <v>3</v>
      </c>
      <c r="B681" s="46">
        <v>0.78611111111111109</v>
      </c>
      <c r="C681" s="38">
        <v>456</v>
      </c>
      <c r="D681" s="38"/>
      <c r="E681" s="38" t="s">
        <v>307</v>
      </c>
      <c r="F681" s="38" t="s">
        <v>497</v>
      </c>
      <c r="G681" s="5">
        <v>3</v>
      </c>
      <c r="H681" s="5" t="s">
        <v>395</v>
      </c>
      <c r="I681" s="156" t="s">
        <v>357</v>
      </c>
    </row>
    <row r="682" spans="1:9" x14ac:dyDescent="0.25">
      <c r="A682" s="15">
        <v>4</v>
      </c>
      <c r="B682" s="46">
        <v>0.97638888888888886</v>
      </c>
      <c r="C682" s="38">
        <v>690</v>
      </c>
      <c r="D682" s="38" t="s">
        <v>97</v>
      </c>
      <c r="E682" s="38" t="s">
        <v>67</v>
      </c>
      <c r="F682" s="38" t="s">
        <v>147</v>
      </c>
      <c r="G682" s="5" t="s">
        <v>531</v>
      </c>
      <c r="H682" s="5" t="s">
        <v>395</v>
      </c>
      <c r="I682" s="156" t="s">
        <v>357</v>
      </c>
    </row>
    <row r="683" spans="1:9" x14ac:dyDescent="0.25">
      <c r="A683" s="179">
        <v>46120</v>
      </c>
      <c r="B683" s="180"/>
      <c r="C683" s="180"/>
      <c r="D683" s="180"/>
      <c r="E683" s="180"/>
      <c r="F683" s="180"/>
      <c r="G683" s="180"/>
      <c r="H683" s="180"/>
      <c r="I683" s="181"/>
    </row>
    <row r="684" spans="1:9" x14ac:dyDescent="0.25">
      <c r="A684" s="22">
        <v>5</v>
      </c>
      <c r="B684" s="56">
        <v>2.4999999999999998E-2</v>
      </c>
      <c r="C684" s="43">
        <v>666</v>
      </c>
      <c r="D684" s="43" t="s">
        <v>97</v>
      </c>
      <c r="E684" s="43" t="s">
        <v>43</v>
      </c>
      <c r="F684" s="43" t="s">
        <v>339</v>
      </c>
      <c r="G684" s="23" t="s">
        <v>347</v>
      </c>
      <c r="H684" s="23" t="s">
        <v>305</v>
      </c>
      <c r="I684" s="161" t="s">
        <v>357</v>
      </c>
    </row>
    <row r="685" spans="1:9" x14ac:dyDescent="0.25">
      <c r="A685" s="15">
        <v>6</v>
      </c>
      <c r="B685" s="46">
        <v>0.32569444444444445</v>
      </c>
      <c r="C685" s="38">
        <v>439</v>
      </c>
      <c r="D685" s="38"/>
      <c r="E685" s="38" t="s">
        <v>217</v>
      </c>
      <c r="F685" s="38" t="s">
        <v>282</v>
      </c>
      <c r="G685" s="5">
        <v>5</v>
      </c>
      <c r="H685" s="5" t="s">
        <v>395</v>
      </c>
      <c r="I685" s="156" t="s">
        <v>357</v>
      </c>
    </row>
    <row r="686" spans="1:9" x14ac:dyDescent="0.25">
      <c r="A686" s="22">
        <v>7</v>
      </c>
      <c r="B686" s="56">
        <v>0.5493055555555556</v>
      </c>
      <c r="C686" s="43"/>
      <c r="D686" s="43" t="s">
        <v>97</v>
      </c>
      <c r="E686" s="43" t="s">
        <v>471</v>
      </c>
      <c r="F686" s="43" t="s">
        <v>528</v>
      </c>
      <c r="G686" s="23" t="s">
        <v>219</v>
      </c>
      <c r="H686" s="23" t="s">
        <v>305</v>
      </c>
      <c r="I686" s="161" t="s">
        <v>357</v>
      </c>
    </row>
    <row r="687" spans="1:9" x14ac:dyDescent="0.25">
      <c r="A687" s="15">
        <v>8</v>
      </c>
      <c r="B687" s="46">
        <v>0.57430555555555551</v>
      </c>
      <c r="C687" s="38"/>
      <c r="D687" s="38" t="s">
        <v>97</v>
      </c>
      <c r="E687" s="38" t="s">
        <v>471</v>
      </c>
      <c r="F687" s="38" t="s">
        <v>528</v>
      </c>
      <c r="G687" s="5" t="s">
        <v>371</v>
      </c>
      <c r="H687" s="5" t="s">
        <v>395</v>
      </c>
      <c r="I687" s="156" t="s">
        <v>383</v>
      </c>
    </row>
    <row r="688" spans="1:9" ht="19.5" thickBot="1" x14ac:dyDescent="0.3">
      <c r="A688" s="173" t="s">
        <v>530</v>
      </c>
      <c r="B688" s="174"/>
      <c r="C688" s="174"/>
      <c r="D688" s="174"/>
      <c r="E688" s="174"/>
      <c r="F688" s="174"/>
      <c r="G688" s="174"/>
      <c r="H688" s="174"/>
      <c r="I688" s="175"/>
    </row>
    <row r="689" spans="1:9" ht="19.5" thickBot="1" x14ac:dyDescent="0.3"/>
    <row r="690" spans="1:9" x14ac:dyDescent="0.25">
      <c r="A690" s="14">
        <v>1</v>
      </c>
      <c r="B690" s="45">
        <v>0.84861111111111109</v>
      </c>
      <c r="C690" s="37">
        <v>129</v>
      </c>
      <c r="D690" s="37" t="s">
        <v>97</v>
      </c>
      <c r="E690" s="37" t="s">
        <v>89</v>
      </c>
      <c r="F690" s="37" t="s">
        <v>497</v>
      </c>
      <c r="G690" s="151">
        <v>4</v>
      </c>
      <c r="H690" s="151" t="s">
        <v>395</v>
      </c>
      <c r="I690" s="155" t="s">
        <v>357</v>
      </c>
    </row>
    <row r="691" spans="1:9" x14ac:dyDescent="0.25">
      <c r="A691" s="22">
        <v>2</v>
      </c>
      <c r="B691" s="56">
        <v>0.90694444444444444</v>
      </c>
      <c r="C691" s="43">
        <v>646</v>
      </c>
      <c r="D691" s="43" t="s">
        <v>97</v>
      </c>
      <c r="E691" s="43" t="s">
        <v>43</v>
      </c>
      <c r="F691" s="43" t="s">
        <v>339</v>
      </c>
      <c r="G691" s="23" t="s">
        <v>234</v>
      </c>
      <c r="H691" s="23" t="s">
        <v>305</v>
      </c>
      <c r="I691" s="161" t="s">
        <v>357</v>
      </c>
    </row>
    <row r="692" spans="1:9" x14ac:dyDescent="0.25">
      <c r="A692" s="179">
        <v>46121</v>
      </c>
      <c r="B692" s="180"/>
      <c r="C692" s="180"/>
      <c r="D692" s="180"/>
      <c r="E692" s="180"/>
      <c r="F692" s="180"/>
      <c r="G692" s="180"/>
      <c r="H692" s="180"/>
      <c r="I692" s="181"/>
    </row>
    <row r="693" spans="1:9" x14ac:dyDescent="0.25">
      <c r="A693" s="15">
        <v>3</v>
      </c>
      <c r="B693" s="46">
        <v>5.9027777777777783E-2</v>
      </c>
      <c r="C693" s="38">
        <v>690</v>
      </c>
      <c r="D693" s="38" t="s">
        <v>97</v>
      </c>
      <c r="E693" s="38" t="s">
        <v>67</v>
      </c>
      <c r="F693" s="38" t="s">
        <v>147</v>
      </c>
      <c r="G693" s="5" t="s">
        <v>531</v>
      </c>
      <c r="H693" s="5" t="s">
        <v>395</v>
      </c>
      <c r="I693" s="156" t="s">
        <v>357</v>
      </c>
    </row>
    <row r="694" spans="1:9" x14ac:dyDescent="0.25">
      <c r="A694" s="15">
        <v>4</v>
      </c>
      <c r="B694" s="46">
        <v>0.36180555555555555</v>
      </c>
      <c r="C694" s="38">
        <v>448</v>
      </c>
      <c r="D694" s="38" t="s">
        <v>97</v>
      </c>
      <c r="E694" s="38" t="s">
        <v>532</v>
      </c>
      <c r="F694" s="38" t="s">
        <v>282</v>
      </c>
      <c r="G694" s="5">
        <v>7</v>
      </c>
      <c r="H694" s="5" t="s">
        <v>395</v>
      </c>
      <c r="I694" s="156" t="s">
        <v>357</v>
      </c>
    </row>
    <row r="695" spans="1:9" x14ac:dyDescent="0.25">
      <c r="A695" s="22">
        <v>5</v>
      </c>
      <c r="B695" s="56">
        <v>0.4861111111111111</v>
      </c>
      <c r="C695" s="43"/>
      <c r="D695" s="43" t="s">
        <v>97</v>
      </c>
      <c r="E695" s="43" t="s">
        <v>432</v>
      </c>
      <c r="F695" s="43" t="s">
        <v>533</v>
      </c>
      <c r="G695" s="23" t="s">
        <v>534</v>
      </c>
      <c r="H695" s="23" t="s">
        <v>305</v>
      </c>
      <c r="I695" s="161" t="s">
        <v>357</v>
      </c>
    </row>
    <row r="696" spans="1:9" x14ac:dyDescent="0.25">
      <c r="A696" s="15">
        <v>6</v>
      </c>
      <c r="B696" s="46">
        <v>0.41597222222222219</v>
      </c>
      <c r="C696" s="38">
        <v>409</v>
      </c>
      <c r="D696" s="38" t="s">
        <v>97</v>
      </c>
      <c r="E696" s="38"/>
      <c r="F696" s="38" t="s">
        <v>535</v>
      </c>
      <c r="G696" s="5" t="s">
        <v>201</v>
      </c>
      <c r="H696" s="5" t="s">
        <v>395</v>
      </c>
      <c r="I696" s="157" t="s">
        <v>383</v>
      </c>
    </row>
    <row r="697" spans="1:9" x14ac:dyDescent="0.25">
      <c r="A697" s="15">
        <v>7</v>
      </c>
      <c r="B697" s="46">
        <v>0.52083333333333337</v>
      </c>
      <c r="C697" s="38">
        <v>390</v>
      </c>
      <c r="D697" s="38" t="s">
        <v>97</v>
      </c>
      <c r="E697" s="38" t="s">
        <v>20</v>
      </c>
      <c r="F697" s="38" t="s">
        <v>536</v>
      </c>
      <c r="G697" s="5">
        <v>2</v>
      </c>
      <c r="H697" s="5" t="s">
        <v>395</v>
      </c>
      <c r="I697" s="156" t="s">
        <v>357</v>
      </c>
    </row>
    <row r="698" spans="1:9" x14ac:dyDescent="0.25">
      <c r="A698" s="15">
        <v>8</v>
      </c>
      <c r="B698" s="46">
        <v>0.53888888888888886</v>
      </c>
      <c r="C698" s="38">
        <v>455</v>
      </c>
      <c r="D698" s="38"/>
      <c r="E698" s="38" t="s">
        <v>307</v>
      </c>
      <c r="F698" s="38" t="s">
        <v>497</v>
      </c>
      <c r="G698" s="5">
        <v>2</v>
      </c>
      <c r="H698" s="5" t="s">
        <v>395</v>
      </c>
      <c r="I698" s="156" t="s">
        <v>357</v>
      </c>
    </row>
    <row r="699" spans="1:9" ht="19.5" thickBot="1" x14ac:dyDescent="0.3">
      <c r="A699" s="173" t="s">
        <v>538</v>
      </c>
      <c r="B699" s="174"/>
      <c r="C699" s="174"/>
      <c r="D699" s="174"/>
      <c r="E699" s="174"/>
      <c r="F699" s="174"/>
      <c r="G699" s="174"/>
      <c r="H699" s="174"/>
      <c r="I699" s="175"/>
    </row>
    <row r="700" spans="1:9" ht="19.5" thickBot="1" x14ac:dyDescent="0.3"/>
    <row r="701" spans="1:9" x14ac:dyDescent="0.25">
      <c r="A701" s="14">
        <v>1</v>
      </c>
      <c r="B701" s="45">
        <v>0.68611111111111101</v>
      </c>
      <c r="C701" s="37">
        <v>459</v>
      </c>
      <c r="D701" s="37"/>
      <c r="E701" s="37" t="s">
        <v>445</v>
      </c>
      <c r="F701" s="37" t="s">
        <v>497</v>
      </c>
      <c r="G701" s="151">
        <v>1</v>
      </c>
      <c r="H701" s="151" t="s">
        <v>395</v>
      </c>
      <c r="I701" s="155" t="s">
        <v>243</v>
      </c>
    </row>
    <row r="702" spans="1:9" x14ac:dyDescent="0.25">
      <c r="A702" s="15">
        <v>2</v>
      </c>
      <c r="B702" s="46">
        <v>0.79375000000000007</v>
      </c>
      <c r="C702" s="38">
        <v>457</v>
      </c>
      <c r="D702" s="38" t="s">
        <v>97</v>
      </c>
      <c r="E702" s="38" t="s">
        <v>307</v>
      </c>
      <c r="F702" s="38" t="s">
        <v>497</v>
      </c>
      <c r="G702" s="5">
        <v>5</v>
      </c>
      <c r="H702" s="5" t="s">
        <v>395</v>
      </c>
      <c r="I702" s="156" t="s">
        <v>243</v>
      </c>
    </row>
    <row r="703" spans="1:9" x14ac:dyDescent="0.25">
      <c r="A703" s="179">
        <v>46122</v>
      </c>
      <c r="B703" s="180"/>
      <c r="C703" s="180"/>
      <c r="D703" s="180"/>
      <c r="E703" s="180"/>
      <c r="F703" s="180"/>
      <c r="G703" s="180"/>
      <c r="H703" s="180"/>
      <c r="I703" s="181"/>
    </row>
    <row r="704" spans="1:9" x14ac:dyDescent="0.25">
      <c r="A704" s="15">
        <v>3</v>
      </c>
      <c r="B704" s="46">
        <v>5.347222222222222E-2</v>
      </c>
      <c r="C704" s="38">
        <v>660</v>
      </c>
      <c r="D704" s="38" t="s">
        <v>97</v>
      </c>
      <c r="E704" s="38" t="s">
        <v>130</v>
      </c>
      <c r="F704" s="38" t="s">
        <v>539</v>
      </c>
      <c r="G704" s="5" t="s">
        <v>540</v>
      </c>
      <c r="H704" s="5" t="s">
        <v>395</v>
      </c>
      <c r="I704" s="156" t="s">
        <v>243</v>
      </c>
    </row>
    <row r="705" spans="1:9" x14ac:dyDescent="0.25">
      <c r="A705" s="15">
        <v>4</v>
      </c>
      <c r="B705" s="46">
        <v>0.3611111111111111</v>
      </c>
      <c r="C705" s="38">
        <v>440</v>
      </c>
      <c r="D705" s="38"/>
      <c r="E705" s="38" t="s">
        <v>532</v>
      </c>
      <c r="F705" s="38" t="s">
        <v>282</v>
      </c>
      <c r="G705" s="5">
        <v>5</v>
      </c>
      <c r="H705" s="5" t="s">
        <v>395</v>
      </c>
      <c r="I705" s="156" t="s">
        <v>243</v>
      </c>
    </row>
    <row r="706" spans="1:9" x14ac:dyDescent="0.25">
      <c r="A706" s="15">
        <v>5</v>
      </c>
      <c r="B706" s="46">
        <v>0.41388888888888892</v>
      </c>
      <c r="C706" s="38">
        <v>115</v>
      </c>
      <c r="D706" s="38" t="s">
        <v>10</v>
      </c>
      <c r="E706" s="38" t="s">
        <v>541</v>
      </c>
      <c r="F706" s="38" t="s">
        <v>337</v>
      </c>
      <c r="G706" s="5">
        <v>4</v>
      </c>
      <c r="H706" s="5" t="s">
        <v>395</v>
      </c>
      <c r="I706" s="156" t="s">
        <v>243</v>
      </c>
    </row>
    <row r="707" spans="1:9" x14ac:dyDescent="0.25">
      <c r="A707" s="22">
        <v>6</v>
      </c>
      <c r="B707" s="56">
        <v>0.43124999999999997</v>
      </c>
      <c r="C707" s="43"/>
      <c r="D707" s="43" t="s">
        <v>97</v>
      </c>
      <c r="E707" s="43" t="s">
        <v>38</v>
      </c>
      <c r="F707" s="43" t="s">
        <v>542</v>
      </c>
      <c r="G707" s="23" t="s">
        <v>219</v>
      </c>
      <c r="H707" s="23" t="s">
        <v>305</v>
      </c>
      <c r="I707" s="161" t="s">
        <v>243</v>
      </c>
    </row>
    <row r="708" spans="1:9" x14ac:dyDescent="0.25">
      <c r="A708" s="22">
        <v>7</v>
      </c>
      <c r="B708" s="56">
        <v>0.56874999999999998</v>
      </c>
      <c r="C708" s="43"/>
      <c r="D708" s="43" t="s">
        <v>97</v>
      </c>
      <c r="E708" s="43" t="s">
        <v>244</v>
      </c>
      <c r="F708" s="43" t="s">
        <v>543</v>
      </c>
      <c r="G708" s="23" t="s">
        <v>544</v>
      </c>
      <c r="H708" s="23" t="s">
        <v>305</v>
      </c>
      <c r="I708" s="161" t="s">
        <v>243</v>
      </c>
    </row>
    <row r="709" spans="1:9" x14ac:dyDescent="0.25">
      <c r="A709" s="15">
        <v>8</v>
      </c>
      <c r="B709" s="46">
        <v>0.61041666666666672</v>
      </c>
      <c r="C709" s="38" t="s">
        <v>545</v>
      </c>
      <c r="D709" s="38" t="s">
        <v>10</v>
      </c>
      <c r="E709" s="38"/>
      <c r="F709" s="38" t="s">
        <v>546</v>
      </c>
      <c r="G709" s="5" t="s">
        <v>114</v>
      </c>
      <c r="H709" s="5" t="s">
        <v>395</v>
      </c>
      <c r="I709" s="157" t="s">
        <v>258</v>
      </c>
    </row>
    <row r="710" spans="1:9" x14ac:dyDescent="0.25">
      <c r="A710" s="15">
        <v>9</v>
      </c>
      <c r="B710" s="46">
        <v>0.6118055555555556</v>
      </c>
      <c r="C710" s="38" t="s">
        <v>547</v>
      </c>
      <c r="D710" s="38" t="s">
        <v>10</v>
      </c>
      <c r="E710" s="38"/>
      <c r="F710" s="38" t="s">
        <v>548</v>
      </c>
      <c r="G710" s="5" t="s">
        <v>114</v>
      </c>
      <c r="H710" s="5" t="s">
        <v>395</v>
      </c>
      <c r="I710" s="157" t="s">
        <v>258</v>
      </c>
    </row>
    <row r="711" spans="1:9" ht="19.5" thickBot="1" x14ac:dyDescent="0.3">
      <c r="A711" s="173" t="s">
        <v>549</v>
      </c>
      <c r="B711" s="174"/>
      <c r="C711" s="174"/>
      <c r="D711" s="174"/>
      <c r="E711" s="174"/>
      <c r="F711" s="174"/>
      <c r="G711" s="174"/>
      <c r="H711" s="174"/>
      <c r="I711" s="175"/>
    </row>
    <row r="712" spans="1:9" ht="19.5" thickBot="1" x14ac:dyDescent="0.3"/>
    <row r="713" spans="1:9" x14ac:dyDescent="0.25">
      <c r="A713" s="14">
        <v>1</v>
      </c>
      <c r="B713" s="45">
        <v>0.85277777777777775</v>
      </c>
      <c r="C713" s="37">
        <v>457</v>
      </c>
      <c r="D713" s="37" t="s">
        <v>97</v>
      </c>
      <c r="E713" s="37" t="s">
        <v>307</v>
      </c>
      <c r="F713" s="37" t="s">
        <v>497</v>
      </c>
      <c r="G713" s="151">
        <v>4</v>
      </c>
      <c r="H713" s="151" t="s">
        <v>395</v>
      </c>
      <c r="I713" s="155" t="s">
        <v>243</v>
      </c>
    </row>
    <row r="714" spans="1:9" x14ac:dyDescent="0.25">
      <c r="A714" s="22">
        <v>2</v>
      </c>
      <c r="B714" s="56">
        <v>0.88888888888888884</v>
      </c>
      <c r="C714" s="43">
        <v>660</v>
      </c>
      <c r="D714" s="43" t="s">
        <v>97</v>
      </c>
      <c r="E714" s="43" t="s">
        <v>187</v>
      </c>
      <c r="F714" s="43" t="s">
        <v>539</v>
      </c>
      <c r="G714" s="23" t="s">
        <v>234</v>
      </c>
      <c r="H714" s="23" t="s">
        <v>305</v>
      </c>
      <c r="I714" s="161" t="s">
        <v>243</v>
      </c>
    </row>
    <row r="715" spans="1:9" x14ac:dyDescent="0.25">
      <c r="A715" s="179">
        <v>46123</v>
      </c>
      <c r="B715" s="180"/>
      <c r="C715" s="180"/>
      <c r="D715" s="180"/>
      <c r="E715" s="180"/>
      <c r="F715" s="180"/>
      <c r="G715" s="180"/>
      <c r="H715" s="180"/>
      <c r="I715" s="181"/>
    </row>
    <row r="716" spans="1:9" x14ac:dyDescent="0.25">
      <c r="A716" s="15">
        <v>3</v>
      </c>
      <c r="B716" s="46">
        <v>0.4236111111111111</v>
      </c>
      <c r="C716" s="38">
        <v>466</v>
      </c>
      <c r="D716" s="38"/>
      <c r="E716" s="38" t="s">
        <v>445</v>
      </c>
      <c r="F716" s="38" t="s">
        <v>497</v>
      </c>
      <c r="G716" s="5">
        <v>6</v>
      </c>
      <c r="H716" s="5" t="s">
        <v>395</v>
      </c>
      <c r="I716" s="156" t="s">
        <v>243</v>
      </c>
    </row>
    <row r="717" spans="1:9" x14ac:dyDescent="0.25">
      <c r="A717" s="15">
        <v>4</v>
      </c>
      <c r="B717" s="46">
        <v>0.41666666666666669</v>
      </c>
      <c r="C717" s="38"/>
      <c r="D717" s="38"/>
      <c r="E717" s="38" t="s">
        <v>550</v>
      </c>
      <c r="F717" s="38" t="s">
        <v>551</v>
      </c>
      <c r="G717" s="5" t="s">
        <v>552</v>
      </c>
      <c r="H717" s="5" t="s">
        <v>395</v>
      </c>
      <c r="I717" s="156" t="s">
        <v>243</v>
      </c>
    </row>
    <row r="718" spans="1:9" x14ac:dyDescent="0.25">
      <c r="A718" s="15">
        <v>5</v>
      </c>
      <c r="B718" s="46">
        <v>0.4368055555555555</v>
      </c>
      <c r="C718" s="38">
        <v>469</v>
      </c>
      <c r="D718" s="38"/>
      <c r="E718" s="38" t="s">
        <v>553</v>
      </c>
      <c r="F718" s="38" t="s">
        <v>282</v>
      </c>
      <c r="G718" s="5">
        <v>10</v>
      </c>
      <c r="H718" s="5" t="s">
        <v>395</v>
      </c>
      <c r="I718" s="156" t="s">
        <v>243</v>
      </c>
    </row>
    <row r="719" spans="1:9" x14ac:dyDescent="0.25">
      <c r="A719" s="15">
        <v>6</v>
      </c>
      <c r="B719" s="46">
        <v>0.4375</v>
      </c>
      <c r="C719" s="38">
        <v>466</v>
      </c>
      <c r="D719" s="38"/>
      <c r="E719" s="38" t="s">
        <v>271</v>
      </c>
      <c r="F719" s="38" t="s">
        <v>310</v>
      </c>
      <c r="G719" s="5">
        <v>10</v>
      </c>
      <c r="H719" s="5" t="s">
        <v>395</v>
      </c>
      <c r="I719" s="156" t="s">
        <v>243</v>
      </c>
    </row>
    <row r="720" spans="1:9" x14ac:dyDescent="0.25">
      <c r="A720" s="15">
        <v>7</v>
      </c>
      <c r="B720" s="46">
        <v>0.48680555555555555</v>
      </c>
      <c r="C720" s="38">
        <v>438</v>
      </c>
      <c r="D720" s="38"/>
      <c r="E720" s="38" t="s">
        <v>217</v>
      </c>
      <c r="F720" s="38" t="s">
        <v>554</v>
      </c>
      <c r="G720" s="5">
        <v>3</v>
      </c>
      <c r="H720" s="5" t="s">
        <v>395</v>
      </c>
      <c r="I720" s="156" t="s">
        <v>243</v>
      </c>
    </row>
    <row r="721" spans="1:9" x14ac:dyDescent="0.25">
      <c r="A721" s="15">
        <v>8</v>
      </c>
      <c r="B721" s="46">
        <v>0.50347222222222221</v>
      </c>
      <c r="C721" s="38" t="s">
        <v>555</v>
      </c>
      <c r="D721" s="38"/>
      <c r="E721" s="38" t="s">
        <v>412</v>
      </c>
      <c r="F721" s="38" t="s">
        <v>556</v>
      </c>
      <c r="G721" s="5" t="s">
        <v>371</v>
      </c>
      <c r="H721" s="5" t="s">
        <v>395</v>
      </c>
      <c r="I721" s="157" t="s">
        <v>258</v>
      </c>
    </row>
    <row r="722" spans="1:9" x14ac:dyDescent="0.25">
      <c r="A722" s="15">
        <v>9</v>
      </c>
      <c r="B722" s="46">
        <v>0.50486111111111109</v>
      </c>
      <c r="C722" s="38" t="s">
        <v>557</v>
      </c>
      <c r="D722" s="38"/>
      <c r="E722" s="38" t="s">
        <v>409</v>
      </c>
      <c r="F722" s="38" t="s">
        <v>558</v>
      </c>
      <c r="G722" s="5" t="s">
        <v>559</v>
      </c>
      <c r="H722" s="5" t="s">
        <v>395</v>
      </c>
      <c r="I722" s="157" t="s">
        <v>258</v>
      </c>
    </row>
    <row r="723" spans="1:9" x14ac:dyDescent="0.25">
      <c r="A723" s="15">
        <v>10</v>
      </c>
      <c r="B723" s="46">
        <v>0.51250000000000007</v>
      </c>
      <c r="C723" s="38">
        <v>467</v>
      </c>
      <c r="D723" s="38"/>
      <c r="E723" s="38" t="s">
        <v>445</v>
      </c>
      <c r="F723" s="38" t="s">
        <v>560</v>
      </c>
      <c r="G723" s="5" t="s">
        <v>563</v>
      </c>
      <c r="H723" s="5" t="s">
        <v>294</v>
      </c>
      <c r="I723" s="156" t="s">
        <v>243</v>
      </c>
    </row>
    <row r="724" spans="1:9" x14ac:dyDescent="0.25">
      <c r="A724" s="22">
        <v>11</v>
      </c>
      <c r="B724" s="56">
        <v>0.54583333333333328</v>
      </c>
      <c r="C724" s="43"/>
      <c r="D724" s="43"/>
      <c r="E724" s="43" t="s">
        <v>561</v>
      </c>
      <c r="F724" s="43" t="s">
        <v>528</v>
      </c>
      <c r="G724" s="23" t="s">
        <v>234</v>
      </c>
      <c r="H724" s="23" t="s">
        <v>305</v>
      </c>
      <c r="I724" s="161" t="s">
        <v>243</v>
      </c>
    </row>
    <row r="725" spans="1:9" x14ac:dyDescent="0.25">
      <c r="A725" s="15">
        <v>12</v>
      </c>
      <c r="B725" s="46">
        <v>0.59166666666666667</v>
      </c>
      <c r="C725" s="38">
        <v>452</v>
      </c>
      <c r="D725" s="38"/>
      <c r="E725" s="38" t="s">
        <v>553</v>
      </c>
      <c r="F725" s="38" t="s">
        <v>562</v>
      </c>
      <c r="G725" s="5" t="s">
        <v>563</v>
      </c>
      <c r="H725" s="5" t="s">
        <v>294</v>
      </c>
      <c r="I725" s="156" t="s">
        <v>243</v>
      </c>
    </row>
    <row r="726" spans="1:9" x14ac:dyDescent="0.25">
      <c r="A726" s="15">
        <v>13</v>
      </c>
      <c r="B726" s="46">
        <v>0.60625000000000007</v>
      </c>
      <c r="C726" s="38">
        <v>452</v>
      </c>
      <c r="D726" s="38"/>
      <c r="E726" s="38" t="s">
        <v>553</v>
      </c>
      <c r="F726" s="38" t="s">
        <v>562</v>
      </c>
      <c r="G726" s="5" t="s">
        <v>563</v>
      </c>
      <c r="H726" s="5" t="s">
        <v>294</v>
      </c>
      <c r="I726" s="156" t="s">
        <v>243</v>
      </c>
    </row>
    <row r="727" spans="1:9" ht="19.5" thickBot="1" x14ac:dyDescent="0.3">
      <c r="A727" s="173" t="s">
        <v>564</v>
      </c>
      <c r="B727" s="174"/>
      <c r="C727" s="174"/>
      <c r="D727" s="174"/>
      <c r="E727" s="174"/>
      <c r="F727" s="174"/>
      <c r="G727" s="174"/>
      <c r="H727" s="174"/>
      <c r="I727" s="175"/>
    </row>
    <row r="728" spans="1:9" ht="19.5" thickBot="1" x14ac:dyDescent="0.3"/>
    <row r="729" spans="1:9" x14ac:dyDescent="0.25">
      <c r="A729" s="176">
        <v>46124</v>
      </c>
      <c r="B729" s="177"/>
      <c r="C729" s="177"/>
      <c r="D729" s="177"/>
      <c r="E729" s="177"/>
      <c r="F729" s="177"/>
      <c r="G729" s="177"/>
      <c r="H729" s="177"/>
      <c r="I729" s="178"/>
    </row>
    <row r="730" spans="1:9" x14ac:dyDescent="0.25">
      <c r="A730" s="15">
        <v>1</v>
      </c>
      <c r="B730" s="46">
        <v>0.23611111111111113</v>
      </c>
      <c r="C730" s="38">
        <v>661</v>
      </c>
      <c r="D730" s="38" t="s">
        <v>10</v>
      </c>
      <c r="E730" s="38" t="s">
        <v>566</v>
      </c>
      <c r="F730" s="38" t="s">
        <v>536</v>
      </c>
      <c r="G730" s="5" t="s">
        <v>400</v>
      </c>
      <c r="H730" s="5" t="s">
        <v>395</v>
      </c>
      <c r="I730" s="157" t="s">
        <v>93</v>
      </c>
    </row>
    <row r="731" spans="1:9" x14ac:dyDescent="0.25">
      <c r="A731" s="15">
        <v>2</v>
      </c>
      <c r="B731" s="46">
        <v>0.25138888888888888</v>
      </c>
      <c r="C731" s="38">
        <v>520</v>
      </c>
      <c r="D731" s="38" t="s">
        <v>10</v>
      </c>
      <c r="E731" s="38" t="s">
        <v>567</v>
      </c>
      <c r="F731" s="38" t="s">
        <v>568</v>
      </c>
      <c r="G731" s="5" t="s">
        <v>158</v>
      </c>
      <c r="H731" s="5" t="s">
        <v>395</v>
      </c>
      <c r="I731" s="157" t="s">
        <v>93</v>
      </c>
    </row>
    <row r="732" spans="1:9" x14ac:dyDescent="0.25">
      <c r="A732" s="15">
        <v>3</v>
      </c>
      <c r="B732" s="46">
        <v>0.33194444444444443</v>
      </c>
      <c r="C732" s="38" t="s">
        <v>376</v>
      </c>
      <c r="D732" s="38" t="s">
        <v>10</v>
      </c>
      <c r="E732" s="38" t="s">
        <v>553</v>
      </c>
      <c r="F732" s="38" t="s">
        <v>380</v>
      </c>
      <c r="G732" s="5" t="s">
        <v>371</v>
      </c>
      <c r="H732" s="5" t="s">
        <v>395</v>
      </c>
      <c r="I732" s="157" t="s">
        <v>93</v>
      </c>
    </row>
    <row r="733" spans="1:9" x14ac:dyDescent="0.25">
      <c r="A733" s="15">
        <v>4</v>
      </c>
      <c r="B733" s="46">
        <v>0.33263888888888887</v>
      </c>
      <c r="C733" s="38">
        <v>476</v>
      </c>
      <c r="D733" s="38" t="s">
        <v>10</v>
      </c>
      <c r="E733" s="38" t="s">
        <v>271</v>
      </c>
      <c r="F733" s="38" t="s">
        <v>497</v>
      </c>
      <c r="G733" s="5" t="s">
        <v>114</v>
      </c>
      <c r="H733" s="5" t="s">
        <v>395</v>
      </c>
      <c r="I733" s="157" t="s">
        <v>93</v>
      </c>
    </row>
    <row r="734" spans="1:9" ht="19.5" thickBot="1" x14ac:dyDescent="0.3">
      <c r="A734" s="173" t="s">
        <v>569</v>
      </c>
      <c r="B734" s="174"/>
      <c r="C734" s="174"/>
      <c r="D734" s="174"/>
      <c r="E734" s="174"/>
      <c r="F734" s="174"/>
      <c r="G734" s="174"/>
      <c r="H734" s="174"/>
      <c r="I734" s="175"/>
    </row>
    <row r="735" spans="1:9" ht="19.5" thickBot="1" x14ac:dyDescent="0.3"/>
    <row r="736" spans="1:9" x14ac:dyDescent="0.25">
      <c r="A736" s="176">
        <v>46125</v>
      </c>
      <c r="B736" s="177"/>
      <c r="C736" s="177"/>
      <c r="D736" s="177"/>
      <c r="E736" s="177"/>
      <c r="F736" s="177"/>
      <c r="G736" s="177"/>
      <c r="H736" s="177"/>
      <c r="I736" s="178"/>
    </row>
    <row r="737" spans="1:9" x14ac:dyDescent="0.25">
      <c r="A737" s="15">
        <v>1</v>
      </c>
      <c r="B737" s="46">
        <v>6.9444444444444447E-4</v>
      </c>
      <c r="C737" s="38">
        <v>409</v>
      </c>
      <c r="D737" s="38"/>
      <c r="E737" s="38" t="s">
        <v>257</v>
      </c>
      <c r="F737" s="38" t="s">
        <v>380</v>
      </c>
      <c r="G737" s="5">
        <v>3</v>
      </c>
      <c r="H737" s="5" t="s">
        <v>395</v>
      </c>
      <c r="I737" s="156" t="s">
        <v>243</v>
      </c>
    </row>
    <row r="738" spans="1:9" x14ac:dyDescent="0.25">
      <c r="A738" s="15">
        <v>2</v>
      </c>
      <c r="B738" s="46">
        <v>0.10069444444444443</v>
      </c>
      <c r="C738" s="38">
        <v>1007</v>
      </c>
      <c r="D738" s="38" t="s">
        <v>97</v>
      </c>
      <c r="E738" s="38" t="s">
        <v>302</v>
      </c>
      <c r="F738" s="38" t="s">
        <v>539</v>
      </c>
      <c r="G738" s="5" t="s">
        <v>114</v>
      </c>
      <c r="H738" s="5" t="s">
        <v>395</v>
      </c>
      <c r="I738" s="156" t="s">
        <v>258</v>
      </c>
    </row>
    <row r="739" spans="1:9" x14ac:dyDescent="0.25">
      <c r="A739" s="15">
        <v>3</v>
      </c>
      <c r="B739" s="46">
        <v>0.27430555555555552</v>
      </c>
      <c r="C739" s="38">
        <v>460</v>
      </c>
      <c r="D739" s="38"/>
      <c r="E739" s="38" t="s">
        <v>445</v>
      </c>
      <c r="F739" s="38" t="s">
        <v>380</v>
      </c>
      <c r="G739" s="5" t="s">
        <v>114</v>
      </c>
      <c r="H739" s="5" t="s">
        <v>294</v>
      </c>
      <c r="I739" s="157" t="s">
        <v>258</v>
      </c>
    </row>
    <row r="740" spans="1:9" x14ac:dyDescent="0.25">
      <c r="A740" s="15">
        <v>4</v>
      </c>
      <c r="B740" s="46">
        <v>0.33680555555555558</v>
      </c>
      <c r="C740" s="38">
        <v>466</v>
      </c>
      <c r="D740" s="38"/>
      <c r="E740" s="38" t="s">
        <v>271</v>
      </c>
      <c r="F740" s="38" t="s">
        <v>282</v>
      </c>
      <c r="G740" s="5">
        <v>5</v>
      </c>
      <c r="H740" s="5" t="s">
        <v>395</v>
      </c>
      <c r="I740" s="156" t="s">
        <v>243</v>
      </c>
    </row>
    <row r="741" spans="1:9" x14ac:dyDescent="0.25">
      <c r="A741" s="15">
        <v>5</v>
      </c>
      <c r="B741" s="46">
        <v>0.33819444444444446</v>
      </c>
      <c r="C741" s="38">
        <v>473</v>
      </c>
      <c r="D741" s="38"/>
      <c r="E741" s="38" t="s">
        <v>553</v>
      </c>
      <c r="F741" s="38" t="s">
        <v>315</v>
      </c>
      <c r="G741" s="5">
        <v>2</v>
      </c>
      <c r="H741" s="5" t="s">
        <v>395</v>
      </c>
      <c r="I741" s="156" t="s">
        <v>243</v>
      </c>
    </row>
    <row r="742" spans="1:9" x14ac:dyDescent="0.25">
      <c r="A742" s="15">
        <v>3</v>
      </c>
      <c r="B742" s="46">
        <v>0.34027777777777773</v>
      </c>
      <c r="C742" s="38" t="s">
        <v>376</v>
      </c>
      <c r="D742" s="38" t="s">
        <v>10</v>
      </c>
      <c r="E742" s="38" t="s">
        <v>553</v>
      </c>
      <c r="F742" s="38" t="s">
        <v>380</v>
      </c>
      <c r="G742" s="5" t="s">
        <v>101</v>
      </c>
      <c r="H742" s="5" t="s">
        <v>395</v>
      </c>
      <c r="I742" s="156" t="s">
        <v>243</v>
      </c>
    </row>
    <row r="743" spans="1:9" x14ac:dyDescent="0.25">
      <c r="A743" s="15">
        <v>4</v>
      </c>
      <c r="B743" s="46">
        <v>0.41041666666666665</v>
      </c>
      <c r="C743" s="38">
        <v>468</v>
      </c>
      <c r="D743" s="38"/>
      <c r="E743" s="38" t="s">
        <v>553</v>
      </c>
      <c r="F743" s="38" t="s">
        <v>497</v>
      </c>
      <c r="G743" s="5">
        <v>4</v>
      </c>
      <c r="H743" s="5" t="s">
        <v>395</v>
      </c>
      <c r="I743" s="156" t="s">
        <v>243</v>
      </c>
    </row>
    <row r="744" spans="1:9" x14ac:dyDescent="0.25">
      <c r="A744" s="15">
        <v>5</v>
      </c>
      <c r="B744" s="46">
        <v>0.44861111111111113</v>
      </c>
      <c r="C744" s="38">
        <v>473</v>
      </c>
      <c r="D744" s="38"/>
      <c r="E744" s="38" t="s">
        <v>553</v>
      </c>
      <c r="F744" s="38" t="s">
        <v>310</v>
      </c>
      <c r="G744" s="5">
        <v>5</v>
      </c>
      <c r="H744" s="5" t="s">
        <v>395</v>
      </c>
      <c r="I744" s="156" t="s">
        <v>243</v>
      </c>
    </row>
    <row r="745" spans="1:9" x14ac:dyDescent="0.25">
      <c r="A745" s="22">
        <v>6</v>
      </c>
      <c r="B745" s="56">
        <v>0.48749999999999999</v>
      </c>
      <c r="C745" s="43"/>
      <c r="D745" s="43"/>
      <c r="E745" s="43" t="s">
        <v>18</v>
      </c>
      <c r="F745" s="43" t="s">
        <v>542</v>
      </c>
      <c r="G745" s="23" t="s">
        <v>113</v>
      </c>
      <c r="H745" s="23" t="s">
        <v>305</v>
      </c>
      <c r="I745" s="161" t="s">
        <v>243</v>
      </c>
    </row>
    <row r="746" spans="1:9" x14ac:dyDescent="0.25">
      <c r="A746" s="15">
        <v>7</v>
      </c>
      <c r="B746" s="46">
        <v>0.64583333333333337</v>
      </c>
      <c r="C746" s="38">
        <v>443</v>
      </c>
      <c r="D746" s="38" t="s">
        <v>97</v>
      </c>
      <c r="E746" s="38" t="s">
        <v>271</v>
      </c>
      <c r="F746" s="38" t="s">
        <v>572</v>
      </c>
      <c r="G746" s="5" t="s">
        <v>573</v>
      </c>
      <c r="H746" s="5" t="s">
        <v>395</v>
      </c>
      <c r="I746" s="156" t="s">
        <v>258</v>
      </c>
    </row>
    <row r="747" spans="1:9" ht="19.5" thickBot="1" x14ac:dyDescent="0.3">
      <c r="A747" s="173" t="s">
        <v>574</v>
      </c>
      <c r="B747" s="174"/>
      <c r="C747" s="174"/>
      <c r="D747" s="174"/>
      <c r="E747" s="174"/>
      <c r="F747" s="174"/>
      <c r="G747" s="174"/>
      <c r="H747" s="174"/>
      <c r="I747" s="175"/>
    </row>
    <row r="748" spans="1:9" ht="19.5" thickBot="1" x14ac:dyDescent="0.3"/>
    <row r="749" spans="1:9" x14ac:dyDescent="0.25">
      <c r="A749" s="176">
        <v>46126</v>
      </c>
      <c r="B749" s="177"/>
      <c r="C749" s="177"/>
      <c r="D749" s="177"/>
      <c r="E749" s="177"/>
      <c r="F749" s="177"/>
      <c r="G749" s="177"/>
      <c r="H749" s="177"/>
      <c r="I749" s="178"/>
    </row>
    <row r="750" spans="1:9" x14ac:dyDescent="0.25">
      <c r="A750" s="15">
        <v>1</v>
      </c>
      <c r="B750" s="46">
        <v>0.12986111111111112</v>
      </c>
      <c r="C750" s="38">
        <v>425</v>
      </c>
      <c r="D750" s="38"/>
      <c r="E750" s="38" t="s">
        <v>416</v>
      </c>
      <c r="F750" s="38" t="s">
        <v>542</v>
      </c>
      <c r="G750" s="5" t="s">
        <v>371</v>
      </c>
      <c r="H750" s="5" t="s">
        <v>395</v>
      </c>
      <c r="I750" s="156" t="s">
        <v>258</v>
      </c>
    </row>
    <row r="751" spans="1:9" x14ac:dyDescent="0.25">
      <c r="A751" s="15">
        <v>2</v>
      </c>
      <c r="B751" s="46">
        <v>0.15555555555555556</v>
      </c>
      <c r="C751" s="38">
        <v>608</v>
      </c>
      <c r="D751" s="38" t="s">
        <v>97</v>
      </c>
      <c r="E751" s="38" t="s">
        <v>575</v>
      </c>
      <c r="F751" s="38" t="s">
        <v>568</v>
      </c>
      <c r="G751" s="5">
        <v>10</v>
      </c>
      <c r="H751" s="5" t="s">
        <v>395</v>
      </c>
      <c r="I751" s="156" t="s">
        <v>243</v>
      </c>
    </row>
    <row r="752" spans="1:9" x14ac:dyDescent="0.25">
      <c r="A752" s="15">
        <v>3</v>
      </c>
      <c r="B752" s="46">
        <v>0.19444444444444445</v>
      </c>
      <c r="C752" s="38">
        <v>457</v>
      </c>
      <c r="D752" s="38" t="s">
        <v>97</v>
      </c>
      <c r="E752" s="38" t="s">
        <v>553</v>
      </c>
      <c r="F752" s="38" t="s">
        <v>497</v>
      </c>
      <c r="G752" s="5">
        <v>3</v>
      </c>
      <c r="H752" s="5" t="s">
        <v>395</v>
      </c>
      <c r="I752" s="156" t="s">
        <v>243</v>
      </c>
    </row>
    <row r="753" spans="1:9" x14ac:dyDescent="0.25">
      <c r="A753" s="15">
        <v>4</v>
      </c>
      <c r="B753" s="46">
        <v>0.20347222222222219</v>
      </c>
      <c r="C753" s="38">
        <v>473</v>
      </c>
      <c r="D753" s="38" t="s">
        <v>97</v>
      </c>
      <c r="E753" s="38" t="s">
        <v>307</v>
      </c>
      <c r="F753" s="38" t="s">
        <v>315</v>
      </c>
      <c r="G753" s="5">
        <v>4</v>
      </c>
      <c r="H753" s="5" t="s">
        <v>395</v>
      </c>
      <c r="I753" s="156" t="s">
        <v>243</v>
      </c>
    </row>
    <row r="754" spans="1:9" x14ac:dyDescent="0.25">
      <c r="A754" s="15">
        <v>5</v>
      </c>
      <c r="B754" s="46">
        <v>0.3888888888888889</v>
      </c>
      <c r="C754" s="38"/>
      <c r="D754" s="38"/>
      <c r="E754" s="38" t="s">
        <v>576</v>
      </c>
      <c r="F754" s="38" t="s">
        <v>577</v>
      </c>
      <c r="G754" s="5">
        <v>20</v>
      </c>
      <c r="H754" s="5" t="s">
        <v>395</v>
      </c>
      <c r="I754" s="156" t="s">
        <v>243</v>
      </c>
    </row>
    <row r="755" spans="1:9" x14ac:dyDescent="0.25">
      <c r="A755" s="15">
        <v>6</v>
      </c>
      <c r="B755" s="46">
        <v>0.40277777777777773</v>
      </c>
      <c r="C755" s="38">
        <v>616</v>
      </c>
      <c r="D755" s="38" t="s">
        <v>97</v>
      </c>
      <c r="E755" s="38" t="s">
        <v>237</v>
      </c>
      <c r="F755" s="38" t="s">
        <v>315</v>
      </c>
      <c r="G755" s="5">
        <v>10</v>
      </c>
      <c r="H755" s="5" t="s">
        <v>395</v>
      </c>
      <c r="I755" s="156" t="s">
        <v>243</v>
      </c>
    </row>
    <row r="756" spans="1:9" x14ac:dyDescent="0.25">
      <c r="A756" s="15">
        <v>7</v>
      </c>
      <c r="B756" s="46">
        <v>0.44027777777777777</v>
      </c>
      <c r="C756" s="38">
        <v>453</v>
      </c>
      <c r="D756" s="38"/>
      <c r="E756" s="38" t="s">
        <v>553</v>
      </c>
      <c r="F756" s="38" t="s">
        <v>497</v>
      </c>
      <c r="G756" s="5">
        <v>4</v>
      </c>
      <c r="H756" s="5" t="s">
        <v>395</v>
      </c>
      <c r="I756" s="156" t="s">
        <v>243</v>
      </c>
    </row>
    <row r="757" spans="1:9" x14ac:dyDescent="0.25">
      <c r="A757" s="22">
        <v>8</v>
      </c>
      <c r="B757" s="56">
        <v>0.47847222222222219</v>
      </c>
      <c r="C757" s="43"/>
      <c r="D757" s="43" t="s">
        <v>97</v>
      </c>
      <c r="E757" s="43" t="s">
        <v>578</v>
      </c>
      <c r="F757" s="43" t="s">
        <v>579</v>
      </c>
      <c r="G757" s="23" t="s">
        <v>580</v>
      </c>
      <c r="H757" s="23" t="s">
        <v>305</v>
      </c>
      <c r="I757" s="161" t="s">
        <v>243</v>
      </c>
    </row>
    <row r="758" spans="1:9" x14ac:dyDescent="0.25">
      <c r="A758" s="22">
        <v>9</v>
      </c>
      <c r="B758" s="56">
        <v>0.50763888888888886</v>
      </c>
      <c r="C758" s="43"/>
      <c r="D758" s="43" t="s">
        <v>582</v>
      </c>
      <c r="E758" s="43" t="s">
        <v>412</v>
      </c>
      <c r="F758" s="43" t="s">
        <v>581</v>
      </c>
      <c r="G758" s="23" t="s">
        <v>113</v>
      </c>
      <c r="H758" s="23" t="s">
        <v>305</v>
      </c>
      <c r="I758" s="161" t="s">
        <v>243</v>
      </c>
    </row>
    <row r="759" spans="1:9" x14ac:dyDescent="0.25">
      <c r="A759" s="15">
        <v>10</v>
      </c>
      <c r="B759" s="46">
        <v>0.63958333333333328</v>
      </c>
      <c r="C759" s="38">
        <v>616</v>
      </c>
      <c r="D759" s="38" t="s">
        <v>97</v>
      </c>
      <c r="E759" s="38" t="s">
        <v>237</v>
      </c>
      <c r="F759" s="38" t="s">
        <v>497</v>
      </c>
      <c r="G759" s="5">
        <v>10</v>
      </c>
      <c r="H759" s="5" t="s">
        <v>395</v>
      </c>
      <c r="I759" s="156" t="s">
        <v>243</v>
      </c>
    </row>
    <row r="760" spans="1:9" ht="19.5" thickBot="1" x14ac:dyDescent="0.3">
      <c r="A760" s="173" t="s">
        <v>583</v>
      </c>
      <c r="B760" s="174"/>
      <c r="C760" s="174"/>
      <c r="D760" s="174"/>
      <c r="E760" s="174"/>
      <c r="F760" s="174"/>
      <c r="G760" s="174"/>
      <c r="H760" s="174"/>
      <c r="I760" s="175"/>
    </row>
    <row r="761" spans="1:9" ht="19.5" thickBot="1" x14ac:dyDescent="0.3"/>
    <row r="762" spans="1:9" x14ac:dyDescent="0.25">
      <c r="A762" s="14">
        <v>1</v>
      </c>
      <c r="B762" s="45">
        <v>0.7090277777777777</v>
      </c>
      <c r="C762" s="37">
        <v>188</v>
      </c>
      <c r="D762" s="37" t="s">
        <v>584</v>
      </c>
      <c r="E762" s="37" t="s">
        <v>499</v>
      </c>
      <c r="F762" s="37" t="s">
        <v>585</v>
      </c>
      <c r="G762" s="151">
        <v>1</v>
      </c>
      <c r="H762" s="151" t="s">
        <v>395</v>
      </c>
      <c r="I762" s="155" t="s">
        <v>243</v>
      </c>
    </row>
    <row r="763" spans="1:9" x14ac:dyDescent="0.25">
      <c r="A763" s="15">
        <v>2</v>
      </c>
      <c r="B763" s="46">
        <v>0.73958333333333337</v>
      </c>
      <c r="C763" s="38">
        <v>661</v>
      </c>
      <c r="D763" s="38" t="s">
        <v>97</v>
      </c>
      <c r="E763" s="38" t="s">
        <v>566</v>
      </c>
      <c r="F763" s="38" t="s">
        <v>586</v>
      </c>
      <c r="G763" s="5" t="s">
        <v>158</v>
      </c>
      <c r="H763" s="5" t="s">
        <v>395</v>
      </c>
      <c r="I763" s="157" t="s">
        <v>258</v>
      </c>
    </row>
    <row r="764" spans="1:9" x14ac:dyDescent="0.25">
      <c r="A764" s="15">
        <v>3</v>
      </c>
      <c r="B764" s="46">
        <v>0.98611111111111116</v>
      </c>
      <c r="C764" s="38">
        <v>995</v>
      </c>
      <c r="D764" s="38" t="s">
        <v>97</v>
      </c>
      <c r="E764" s="38" t="s">
        <v>25</v>
      </c>
      <c r="F764" s="38" t="s">
        <v>579</v>
      </c>
      <c r="G764" s="5" t="s">
        <v>371</v>
      </c>
      <c r="H764" s="5" t="s">
        <v>395</v>
      </c>
      <c r="I764" s="157" t="s">
        <v>258</v>
      </c>
    </row>
    <row r="765" spans="1:9" x14ac:dyDescent="0.25">
      <c r="A765" s="179">
        <v>46127</v>
      </c>
      <c r="B765" s="180"/>
      <c r="C765" s="180"/>
      <c r="D765" s="180"/>
      <c r="E765" s="180"/>
      <c r="F765" s="180"/>
      <c r="G765" s="180"/>
      <c r="H765" s="180"/>
      <c r="I765" s="181"/>
    </row>
    <row r="766" spans="1:9" x14ac:dyDescent="0.25">
      <c r="A766" s="15">
        <v>4</v>
      </c>
      <c r="B766" s="46">
        <v>0.15833333333333333</v>
      </c>
      <c r="C766" s="38">
        <v>616</v>
      </c>
      <c r="D766" s="38" t="s">
        <v>97</v>
      </c>
      <c r="E766" s="38" t="s">
        <v>237</v>
      </c>
      <c r="F766" s="38" t="s">
        <v>587</v>
      </c>
      <c r="G766" s="5">
        <v>4</v>
      </c>
      <c r="H766" s="5" t="s">
        <v>395</v>
      </c>
      <c r="I766" s="156" t="s">
        <v>243</v>
      </c>
    </row>
    <row r="767" spans="1:9" x14ac:dyDescent="0.25">
      <c r="A767" s="15">
        <v>5</v>
      </c>
      <c r="B767" s="46">
        <v>0.22569444444444445</v>
      </c>
      <c r="C767" s="38">
        <v>622</v>
      </c>
      <c r="D767" s="38" t="s">
        <v>97</v>
      </c>
      <c r="E767" s="38" t="s">
        <v>167</v>
      </c>
      <c r="F767" s="38" t="s">
        <v>497</v>
      </c>
      <c r="G767" s="5">
        <v>5</v>
      </c>
      <c r="H767" s="5" t="s">
        <v>395</v>
      </c>
      <c r="I767" s="156" t="s">
        <v>243</v>
      </c>
    </row>
    <row r="768" spans="1:9" x14ac:dyDescent="0.25">
      <c r="A768" s="15">
        <v>6</v>
      </c>
      <c r="B768" s="46">
        <v>0.22708333333333333</v>
      </c>
      <c r="C768" s="38">
        <v>616</v>
      </c>
      <c r="D768" s="38" t="s">
        <v>97</v>
      </c>
      <c r="E768" s="38" t="s">
        <v>237</v>
      </c>
      <c r="F768" s="38" t="s">
        <v>587</v>
      </c>
      <c r="G768" s="5">
        <v>5</v>
      </c>
      <c r="H768" s="5" t="s">
        <v>395</v>
      </c>
      <c r="I768" s="156" t="s">
        <v>243</v>
      </c>
    </row>
    <row r="769" spans="1:9" x14ac:dyDescent="0.25">
      <c r="A769" s="15">
        <v>7</v>
      </c>
      <c r="B769" s="46">
        <v>0.23541666666666669</v>
      </c>
      <c r="C769" s="38">
        <v>622</v>
      </c>
      <c r="D769" s="38" t="s">
        <v>97</v>
      </c>
      <c r="E769" s="38" t="s">
        <v>167</v>
      </c>
      <c r="F769" s="38" t="s">
        <v>497</v>
      </c>
      <c r="G769" s="5">
        <v>3</v>
      </c>
      <c r="H769" s="5" t="s">
        <v>395</v>
      </c>
      <c r="I769" s="156" t="s">
        <v>243</v>
      </c>
    </row>
    <row r="770" spans="1:9" x14ac:dyDescent="0.25">
      <c r="A770" s="15">
        <v>8</v>
      </c>
      <c r="B770" s="46">
        <v>0.48333333333333334</v>
      </c>
      <c r="C770" s="38">
        <v>456</v>
      </c>
      <c r="D770" s="38"/>
      <c r="E770" s="38" t="s">
        <v>553</v>
      </c>
      <c r="F770" s="38" t="s">
        <v>310</v>
      </c>
      <c r="G770" s="5">
        <v>2</v>
      </c>
      <c r="H770" s="5" t="s">
        <v>395</v>
      </c>
      <c r="I770" s="156" t="s">
        <v>243</v>
      </c>
    </row>
    <row r="771" spans="1:9" x14ac:dyDescent="0.25">
      <c r="A771" s="15">
        <v>9</v>
      </c>
      <c r="B771" s="46">
        <v>0.48472222222222222</v>
      </c>
      <c r="C771" s="38">
        <v>458</v>
      </c>
      <c r="D771" s="38"/>
      <c r="E771" s="38" t="s">
        <v>271</v>
      </c>
      <c r="F771" s="38" t="s">
        <v>497</v>
      </c>
      <c r="G771" s="5">
        <v>2</v>
      </c>
      <c r="H771" s="5" t="s">
        <v>395</v>
      </c>
      <c r="I771" s="156" t="s">
        <v>243</v>
      </c>
    </row>
    <row r="772" spans="1:9" x14ac:dyDescent="0.25">
      <c r="A772" s="15">
        <v>10</v>
      </c>
      <c r="B772" s="46">
        <v>0.50555555555555554</v>
      </c>
      <c r="C772" s="38">
        <v>473</v>
      </c>
      <c r="D772" s="38"/>
      <c r="E772" s="38" t="s">
        <v>553</v>
      </c>
      <c r="F772" s="38" t="s">
        <v>497</v>
      </c>
      <c r="G772" s="5">
        <v>2</v>
      </c>
      <c r="H772" s="5" t="s">
        <v>395</v>
      </c>
      <c r="I772" s="156" t="s">
        <v>243</v>
      </c>
    </row>
    <row r="773" spans="1:9" x14ac:dyDescent="0.25">
      <c r="A773" s="22">
        <v>11</v>
      </c>
      <c r="B773" s="56">
        <v>0.47986111111111113</v>
      </c>
      <c r="C773" s="43"/>
      <c r="D773" s="43" t="s">
        <v>97</v>
      </c>
      <c r="E773" s="43" t="s">
        <v>566</v>
      </c>
      <c r="F773" s="43" t="s">
        <v>581</v>
      </c>
      <c r="G773" s="23" t="s">
        <v>113</v>
      </c>
      <c r="H773" s="23" t="s">
        <v>305</v>
      </c>
      <c r="I773" s="161" t="s">
        <v>243</v>
      </c>
    </row>
    <row r="774" spans="1:9" x14ac:dyDescent="0.25">
      <c r="A774" s="15">
        <v>12</v>
      </c>
      <c r="B774" s="46">
        <v>0.62638888888888888</v>
      </c>
      <c r="C774" s="38">
        <v>390</v>
      </c>
      <c r="D774" s="38" t="s">
        <v>97</v>
      </c>
      <c r="E774" s="38" t="s">
        <v>20</v>
      </c>
      <c r="F774" s="38" t="s">
        <v>588</v>
      </c>
      <c r="G774" s="5" t="s">
        <v>589</v>
      </c>
      <c r="H774" s="5" t="s">
        <v>395</v>
      </c>
      <c r="I774" s="156" t="s">
        <v>243</v>
      </c>
    </row>
    <row r="775" spans="1:9" x14ac:dyDescent="0.25">
      <c r="A775" s="15">
        <v>13</v>
      </c>
      <c r="B775" s="46">
        <v>0.62777777777777777</v>
      </c>
      <c r="C775" s="38">
        <v>458</v>
      </c>
      <c r="D775" s="38" t="s">
        <v>97</v>
      </c>
      <c r="E775" s="38" t="s">
        <v>271</v>
      </c>
      <c r="F775" s="38" t="s">
        <v>497</v>
      </c>
      <c r="G775" s="5">
        <v>2</v>
      </c>
      <c r="H775" s="5" t="s">
        <v>395</v>
      </c>
      <c r="I775" s="156" t="s">
        <v>243</v>
      </c>
    </row>
    <row r="776" spans="1:9" ht="19.5" thickBot="1" x14ac:dyDescent="0.3">
      <c r="A776" s="173" t="s">
        <v>590</v>
      </c>
      <c r="B776" s="174"/>
      <c r="C776" s="174"/>
      <c r="D776" s="174"/>
      <c r="E776" s="174"/>
      <c r="F776" s="174"/>
      <c r="G776" s="174"/>
      <c r="H776" s="174"/>
      <c r="I776" s="175"/>
    </row>
    <row r="777" spans="1:9" ht="19.5" thickBot="1" x14ac:dyDescent="0.3"/>
    <row r="778" spans="1:9" x14ac:dyDescent="0.25">
      <c r="A778" s="176">
        <v>46127</v>
      </c>
      <c r="B778" s="177"/>
      <c r="C778" s="177"/>
      <c r="D778" s="177"/>
      <c r="E778" s="177"/>
      <c r="F778" s="177"/>
      <c r="G778" s="177"/>
      <c r="H778" s="177"/>
      <c r="I778" s="178"/>
    </row>
    <row r="779" spans="1:9" x14ac:dyDescent="0.25">
      <c r="A779" s="15">
        <v>1</v>
      </c>
      <c r="B779" s="46">
        <v>2.4999999999999998E-2</v>
      </c>
      <c r="C779" s="38">
        <v>616</v>
      </c>
      <c r="D779" s="38" t="s">
        <v>97</v>
      </c>
      <c r="E779" s="38" t="s">
        <v>237</v>
      </c>
      <c r="F779" s="38" t="s">
        <v>587</v>
      </c>
      <c r="G779" s="5">
        <v>3</v>
      </c>
      <c r="H779" s="5" t="s">
        <v>395</v>
      </c>
      <c r="I779" s="156" t="s">
        <v>243</v>
      </c>
    </row>
    <row r="780" spans="1:9" x14ac:dyDescent="0.25">
      <c r="A780" s="22">
        <v>2</v>
      </c>
      <c r="B780" s="56">
        <v>5.2777777777777778E-2</v>
      </c>
      <c r="C780" s="43">
        <v>995</v>
      </c>
      <c r="D780" s="43" t="s">
        <v>97</v>
      </c>
      <c r="E780" s="43" t="s">
        <v>25</v>
      </c>
      <c r="F780" s="43" t="s">
        <v>579</v>
      </c>
      <c r="G780" s="23" t="s">
        <v>544</v>
      </c>
      <c r="H780" s="23" t="s">
        <v>395</v>
      </c>
      <c r="I780" s="161" t="s">
        <v>243</v>
      </c>
    </row>
    <row r="781" spans="1:9" x14ac:dyDescent="0.25">
      <c r="A781" s="15">
        <v>3</v>
      </c>
      <c r="B781" s="46">
        <v>6.5277777777777782E-2</v>
      </c>
      <c r="C781" s="38">
        <v>622</v>
      </c>
      <c r="D781" s="38" t="s">
        <v>97</v>
      </c>
      <c r="E781" s="38" t="s">
        <v>167</v>
      </c>
      <c r="F781" s="38" t="s">
        <v>497</v>
      </c>
      <c r="G781" s="5">
        <v>5</v>
      </c>
      <c r="H781" s="5" t="s">
        <v>395</v>
      </c>
      <c r="I781" s="156" t="s">
        <v>243</v>
      </c>
    </row>
    <row r="782" spans="1:9" x14ac:dyDescent="0.25">
      <c r="A782" s="15">
        <v>4</v>
      </c>
      <c r="B782" s="46">
        <v>0.1111111111111111</v>
      </c>
      <c r="C782" s="38">
        <v>616</v>
      </c>
      <c r="D782" s="38" t="s">
        <v>97</v>
      </c>
      <c r="E782" s="38" t="s">
        <v>237</v>
      </c>
      <c r="F782" s="38" t="s">
        <v>587</v>
      </c>
      <c r="G782" s="5">
        <v>2</v>
      </c>
      <c r="H782" s="5" t="s">
        <v>395</v>
      </c>
      <c r="I782" s="156" t="s">
        <v>243</v>
      </c>
    </row>
    <row r="783" spans="1:9" x14ac:dyDescent="0.25">
      <c r="A783" s="15">
        <v>5</v>
      </c>
      <c r="B783" s="46">
        <v>0.15972222222222224</v>
      </c>
      <c r="C783" s="38">
        <v>622</v>
      </c>
      <c r="D783" s="38" t="s">
        <v>97</v>
      </c>
      <c r="E783" s="38" t="s">
        <v>167</v>
      </c>
      <c r="F783" s="38" t="s">
        <v>497</v>
      </c>
      <c r="G783" s="5">
        <v>5</v>
      </c>
      <c r="H783" s="5" t="s">
        <v>395</v>
      </c>
      <c r="I783" s="156" t="s">
        <v>243</v>
      </c>
    </row>
    <row r="784" spans="1:9" x14ac:dyDescent="0.25">
      <c r="A784" s="15">
        <v>6</v>
      </c>
      <c r="B784" s="46">
        <v>0.24652777777777779</v>
      </c>
      <c r="C784" s="38">
        <v>616</v>
      </c>
      <c r="D784" s="38" t="s">
        <v>97</v>
      </c>
      <c r="E784" s="38" t="s">
        <v>237</v>
      </c>
      <c r="F784" s="38" t="s">
        <v>315</v>
      </c>
      <c r="G784" s="5">
        <v>5</v>
      </c>
      <c r="H784" s="5" t="s">
        <v>395</v>
      </c>
      <c r="I784" s="156" t="s">
        <v>243</v>
      </c>
    </row>
    <row r="785" spans="1:9" x14ac:dyDescent="0.25">
      <c r="A785" s="15">
        <v>7</v>
      </c>
      <c r="B785" s="46">
        <v>0.33124999999999999</v>
      </c>
      <c r="C785" s="38">
        <v>456</v>
      </c>
      <c r="D785" s="38" t="s">
        <v>97</v>
      </c>
      <c r="E785" s="38" t="s">
        <v>307</v>
      </c>
      <c r="F785" s="38" t="s">
        <v>297</v>
      </c>
      <c r="G785" s="5">
        <v>2</v>
      </c>
      <c r="H785" s="5" t="s">
        <v>395</v>
      </c>
      <c r="I785" s="156" t="s">
        <v>243</v>
      </c>
    </row>
    <row r="786" spans="1:9" x14ac:dyDescent="0.25">
      <c r="A786" s="15">
        <v>8</v>
      </c>
      <c r="B786" s="46">
        <v>0.34166666666666662</v>
      </c>
      <c r="C786" s="38">
        <v>476</v>
      </c>
      <c r="D786" s="38" t="s">
        <v>97</v>
      </c>
      <c r="E786" s="38" t="s">
        <v>309</v>
      </c>
      <c r="F786" s="38" t="s">
        <v>315</v>
      </c>
      <c r="G786" s="5">
        <v>2</v>
      </c>
      <c r="H786" s="5" t="s">
        <v>395</v>
      </c>
      <c r="I786" s="156" t="s">
        <v>243</v>
      </c>
    </row>
    <row r="787" spans="1:9" x14ac:dyDescent="0.25">
      <c r="A787" s="15">
        <v>9</v>
      </c>
      <c r="B787" s="46">
        <v>0.36458333333333331</v>
      </c>
      <c r="C787" s="38">
        <v>473</v>
      </c>
      <c r="D787" s="38" t="s">
        <v>97</v>
      </c>
      <c r="E787" s="38" t="s">
        <v>309</v>
      </c>
      <c r="F787" s="38" t="s">
        <v>497</v>
      </c>
      <c r="G787" s="5">
        <v>3</v>
      </c>
      <c r="H787" s="5" t="s">
        <v>395</v>
      </c>
      <c r="I787" s="156" t="s">
        <v>243</v>
      </c>
    </row>
    <row r="788" spans="1:9" x14ac:dyDescent="0.25">
      <c r="A788" s="15">
        <v>10</v>
      </c>
      <c r="B788" s="46">
        <v>0.39166666666666666</v>
      </c>
      <c r="C788" s="38">
        <v>120</v>
      </c>
      <c r="D788" s="38" t="s">
        <v>97</v>
      </c>
      <c r="E788" s="38" t="s">
        <v>231</v>
      </c>
      <c r="F788" s="38" t="s">
        <v>588</v>
      </c>
      <c r="G788" s="5" t="s">
        <v>322</v>
      </c>
      <c r="H788" s="5" t="s">
        <v>395</v>
      </c>
      <c r="I788" s="157" t="s">
        <v>258</v>
      </c>
    </row>
    <row r="789" spans="1:9" x14ac:dyDescent="0.25">
      <c r="A789" s="15">
        <v>11</v>
      </c>
      <c r="B789" s="46">
        <v>0.44375000000000003</v>
      </c>
      <c r="C789" s="38">
        <v>469</v>
      </c>
      <c r="D789" s="38" t="s">
        <v>97</v>
      </c>
      <c r="E789" s="38" t="s">
        <v>309</v>
      </c>
      <c r="F789" s="38" t="s">
        <v>492</v>
      </c>
      <c r="G789" s="5" t="s">
        <v>591</v>
      </c>
      <c r="H789" s="5" t="s">
        <v>395</v>
      </c>
      <c r="I789" s="157" t="s">
        <v>258</v>
      </c>
    </row>
    <row r="790" spans="1:9" x14ac:dyDescent="0.25">
      <c r="A790" s="15">
        <v>12</v>
      </c>
      <c r="B790" s="46">
        <v>0.45208333333333334</v>
      </c>
      <c r="C790" s="38">
        <v>469</v>
      </c>
      <c r="D790" s="38" t="s">
        <v>97</v>
      </c>
      <c r="E790" s="38" t="s">
        <v>309</v>
      </c>
      <c r="F790" s="38" t="s">
        <v>297</v>
      </c>
      <c r="G790" s="5">
        <v>10</v>
      </c>
      <c r="H790" s="5" t="s">
        <v>395</v>
      </c>
      <c r="I790" s="156" t="s">
        <v>243</v>
      </c>
    </row>
    <row r="791" spans="1:9" x14ac:dyDescent="0.25">
      <c r="A791" s="15">
        <v>13</v>
      </c>
      <c r="B791" s="46">
        <v>0.45347222222222222</v>
      </c>
      <c r="C791" s="38">
        <v>468</v>
      </c>
      <c r="D791" s="38" t="s">
        <v>97</v>
      </c>
      <c r="E791" s="38" t="s">
        <v>307</v>
      </c>
      <c r="F791" s="38" t="s">
        <v>497</v>
      </c>
      <c r="G791" s="5">
        <v>4</v>
      </c>
      <c r="H791" s="5" t="s">
        <v>395</v>
      </c>
      <c r="I791" s="156" t="s">
        <v>243</v>
      </c>
    </row>
    <row r="792" spans="1:9" x14ac:dyDescent="0.25">
      <c r="A792" s="15">
        <v>14</v>
      </c>
      <c r="B792" s="46">
        <v>0.45416666666666666</v>
      </c>
      <c r="C792" s="38">
        <v>473</v>
      </c>
      <c r="D792" s="38" t="s">
        <v>97</v>
      </c>
      <c r="E792" s="38" t="s">
        <v>309</v>
      </c>
      <c r="F792" s="38" t="s">
        <v>497</v>
      </c>
      <c r="G792" s="5">
        <v>7</v>
      </c>
      <c r="H792" s="5" t="s">
        <v>395</v>
      </c>
      <c r="I792" s="156" t="s">
        <v>243</v>
      </c>
    </row>
    <row r="793" spans="1:9" x14ac:dyDescent="0.25">
      <c r="A793" s="15">
        <v>15</v>
      </c>
      <c r="B793" s="46">
        <v>0.48541666666666666</v>
      </c>
      <c r="C793" s="38">
        <v>120</v>
      </c>
      <c r="D793" s="38" t="s">
        <v>97</v>
      </c>
      <c r="E793" s="38" t="s">
        <v>231</v>
      </c>
      <c r="F793" s="38" t="s">
        <v>497</v>
      </c>
      <c r="G793" s="5">
        <v>7</v>
      </c>
      <c r="H793" s="5" t="s">
        <v>395</v>
      </c>
      <c r="I793" s="156" t="s">
        <v>243</v>
      </c>
    </row>
    <row r="794" spans="1:9" x14ac:dyDescent="0.25">
      <c r="A794" s="22">
        <v>16</v>
      </c>
      <c r="B794" s="56">
        <v>0.53749999999999998</v>
      </c>
      <c r="C794" s="43"/>
      <c r="D794" s="43" t="s">
        <v>97</v>
      </c>
      <c r="E794" s="43" t="s">
        <v>67</v>
      </c>
      <c r="F794" s="43" t="s">
        <v>593</v>
      </c>
      <c r="G794" s="23" t="s">
        <v>113</v>
      </c>
      <c r="H794" s="23" t="s">
        <v>305</v>
      </c>
      <c r="I794" s="161" t="s">
        <v>243</v>
      </c>
    </row>
    <row r="795" spans="1:9" x14ac:dyDescent="0.25">
      <c r="A795" s="15">
        <v>17</v>
      </c>
      <c r="B795" s="46">
        <v>0.5541666666666667</v>
      </c>
      <c r="C795" s="38"/>
      <c r="D795" s="38" t="s">
        <v>97</v>
      </c>
      <c r="E795" s="38" t="s">
        <v>418</v>
      </c>
      <c r="F795" s="38" t="s">
        <v>594</v>
      </c>
      <c r="G795" s="5" t="s">
        <v>242</v>
      </c>
      <c r="H795" s="5" t="s">
        <v>395</v>
      </c>
      <c r="I795" s="157" t="s">
        <v>258</v>
      </c>
    </row>
    <row r="796" spans="1:9" x14ac:dyDescent="0.25">
      <c r="A796" s="15">
        <v>18</v>
      </c>
      <c r="B796" s="46">
        <v>0.58958333333333335</v>
      </c>
      <c r="C796" s="38">
        <v>120</v>
      </c>
      <c r="D796" s="38"/>
      <c r="E796" s="38" t="s">
        <v>231</v>
      </c>
      <c r="F796" s="38" t="s">
        <v>310</v>
      </c>
      <c r="G796" s="5">
        <v>5</v>
      </c>
      <c r="H796" s="5" t="s">
        <v>395</v>
      </c>
      <c r="I796" s="156" t="s">
        <v>243</v>
      </c>
    </row>
    <row r="797" spans="1:9" x14ac:dyDescent="0.25">
      <c r="A797" s="15">
        <v>19</v>
      </c>
      <c r="B797" s="46">
        <v>0.59097222222222223</v>
      </c>
      <c r="C797" s="38">
        <v>2853</v>
      </c>
      <c r="D797" s="38" t="s">
        <v>97</v>
      </c>
      <c r="E797" s="38" t="s">
        <v>412</v>
      </c>
      <c r="F797" s="38" t="s">
        <v>556</v>
      </c>
      <c r="G797" s="5" t="s">
        <v>559</v>
      </c>
      <c r="H797" s="5" t="s">
        <v>395</v>
      </c>
      <c r="I797" s="157" t="s">
        <v>258</v>
      </c>
    </row>
    <row r="798" spans="1:9" ht="19.5" thickBot="1" x14ac:dyDescent="0.3">
      <c r="A798" s="173" t="s">
        <v>595</v>
      </c>
      <c r="B798" s="174"/>
      <c r="C798" s="174"/>
      <c r="D798" s="174"/>
      <c r="E798" s="174"/>
      <c r="F798" s="174"/>
      <c r="G798" s="174"/>
      <c r="H798" s="174"/>
      <c r="I798" s="175"/>
    </row>
    <row r="799" spans="1:9" ht="19.5" thickBot="1" x14ac:dyDescent="0.3"/>
    <row r="800" spans="1:9" x14ac:dyDescent="0.25">
      <c r="A800" s="14">
        <v>1</v>
      </c>
      <c r="B800" s="45">
        <v>0.6777777777777777</v>
      </c>
      <c r="C800" s="37">
        <v>90</v>
      </c>
      <c r="D800" s="37" t="s">
        <v>10</v>
      </c>
      <c r="E800" s="37" t="s">
        <v>596</v>
      </c>
      <c r="F800" s="37" t="s">
        <v>282</v>
      </c>
      <c r="G800" s="151">
        <v>7</v>
      </c>
      <c r="H800" s="151" t="s">
        <v>395</v>
      </c>
      <c r="I800" s="155" t="s">
        <v>243</v>
      </c>
    </row>
    <row r="801" spans="1:9" x14ac:dyDescent="0.25">
      <c r="A801" s="15">
        <v>2</v>
      </c>
      <c r="B801" s="46">
        <v>0.69027777777777777</v>
      </c>
      <c r="C801" s="38">
        <v>90</v>
      </c>
      <c r="D801" s="38" t="s">
        <v>97</v>
      </c>
      <c r="E801" s="38">
        <v>7404</v>
      </c>
      <c r="F801" s="38" t="s">
        <v>597</v>
      </c>
      <c r="G801" s="5" t="s">
        <v>433</v>
      </c>
      <c r="H801" s="5" t="s">
        <v>395</v>
      </c>
      <c r="I801" s="157" t="s">
        <v>258</v>
      </c>
    </row>
    <row r="802" spans="1:9" x14ac:dyDescent="0.25">
      <c r="A802" s="179">
        <v>46129</v>
      </c>
      <c r="B802" s="180"/>
      <c r="C802" s="180"/>
      <c r="D802" s="180"/>
      <c r="E802" s="180"/>
      <c r="F802" s="180"/>
      <c r="G802" s="180"/>
      <c r="H802" s="180"/>
      <c r="I802" s="181"/>
    </row>
    <row r="803" spans="1:9" x14ac:dyDescent="0.25">
      <c r="A803" s="15">
        <v>3</v>
      </c>
      <c r="B803" s="46">
        <v>4.027777777777778E-2</v>
      </c>
      <c r="C803" s="38">
        <v>476</v>
      </c>
      <c r="D803" s="38" t="s">
        <v>97</v>
      </c>
      <c r="E803" s="38" t="s">
        <v>309</v>
      </c>
      <c r="F803" s="38" t="s">
        <v>587</v>
      </c>
      <c r="G803" s="5">
        <v>4</v>
      </c>
      <c r="H803" s="5" t="s">
        <v>395</v>
      </c>
      <c r="I803" s="156" t="s">
        <v>243</v>
      </c>
    </row>
    <row r="804" spans="1:9" x14ac:dyDescent="0.25">
      <c r="A804" s="22">
        <v>4</v>
      </c>
      <c r="B804" s="56">
        <v>6.6666666666666666E-2</v>
      </c>
      <c r="C804" s="43">
        <v>701</v>
      </c>
      <c r="D804" s="43" t="s">
        <v>97</v>
      </c>
      <c r="E804" s="43" t="s">
        <v>598</v>
      </c>
      <c r="F804" s="43" t="s">
        <v>581</v>
      </c>
      <c r="G804" s="23">
        <v>10</v>
      </c>
      <c r="H804" s="23" t="s">
        <v>305</v>
      </c>
      <c r="I804" s="161" t="s">
        <v>243</v>
      </c>
    </row>
    <row r="805" spans="1:9" x14ac:dyDescent="0.25">
      <c r="A805" s="15">
        <v>5</v>
      </c>
      <c r="B805" s="46">
        <v>0.15138888888888888</v>
      </c>
      <c r="C805" s="38">
        <v>635</v>
      </c>
      <c r="D805" s="38" t="s">
        <v>97</v>
      </c>
      <c r="E805" s="38" t="s">
        <v>15</v>
      </c>
      <c r="F805" s="38" t="s">
        <v>587</v>
      </c>
      <c r="G805" s="5">
        <v>5</v>
      </c>
      <c r="H805" s="5" t="s">
        <v>395</v>
      </c>
      <c r="I805" s="156" t="s">
        <v>243</v>
      </c>
    </row>
    <row r="806" spans="1:9" x14ac:dyDescent="0.25">
      <c r="A806" s="15">
        <v>6</v>
      </c>
      <c r="B806" s="46">
        <v>0.20486111111111113</v>
      </c>
      <c r="C806" s="38">
        <v>638</v>
      </c>
      <c r="D806" s="38" t="s">
        <v>97</v>
      </c>
      <c r="E806" s="38" t="s">
        <v>140</v>
      </c>
      <c r="F806" s="38" t="s">
        <v>587</v>
      </c>
      <c r="G806" s="5">
        <v>3</v>
      </c>
      <c r="H806" s="5" t="s">
        <v>395</v>
      </c>
      <c r="I806" s="156" t="s">
        <v>243</v>
      </c>
    </row>
    <row r="807" spans="1:9" x14ac:dyDescent="0.25">
      <c r="A807" s="15">
        <v>7</v>
      </c>
      <c r="B807" s="46">
        <v>0.31597222222222221</v>
      </c>
      <c r="C807" s="38">
        <v>457</v>
      </c>
      <c r="D807" s="38"/>
      <c r="E807" s="38" t="s">
        <v>553</v>
      </c>
      <c r="F807" s="38" t="s">
        <v>282</v>
      </c>
      <c r="G807" s="5">
        <v>2</v>
      </c>
      <c r="H807" s="5" t="s">
        <v>395</v>
      </c>
      <c r="I807" s="156" t="s">
        <v>243</v>
      </c>
    </row>
    <row r="808" spans="1:9" x14ac:dyDescent="0.25">
      <c r="A808" s="15">
        <v>8</v>
      </c>
      <c r="B808" s="46">
        <v>0.34097222222222223</v>
      </c>
      <c r="C808" s="38">
        <v>454</v>
      </c>
      <c r="D808" s="38"/>
      <c r="E808" s="38" t="s">
        <v>553</v>
      </c>
      <c r="F808" s="38" t="s">
        <v>282</v>
      </c>
      <c r="G808" s="5">
        <v>2</v>
      </c>
      <c r="H808" s="5" t="s">
        <v>395</v>
      </c>
      <c r="I808" s="156" t="s">
        <v>243</v>
      </c>
    </row>
    <row r="809" spans="1:9" x14ac:dyDescent="0.25">
      <c r="A809" s="22">
        <v>9</v>
      </c>
      <c r="B809" s="56">
        <v>0.3444444444444445</v>
      </c>
      <c r="C809" s="43"/>
      <c r="D809" s="43" t="s">
        <v>267</v>
      </c>
      <c r="E809" s="43" t="s">
        <v>599</v>
      </c>
      <c r="F809" s="43" t="s">
        <v>600</v>
      </c>
      <c r="G809" s="23" t="s">
        <v>101</v>
      </c>
      <c r="H809" s="23" t="s">
        <v>305</v>
      </c>
      <c r="I809" s="161" t="s">
        <v>243</v>
      </c>
    </row>
    <row r="810" spans="1:9" x14ac:dyDescent="0.25">
      <c r="A810" s="15">
        <v>10</v>
      </c>
      <c r="B810" s="46">
        <v>0.35694444444444445</v>
      </c>
      <c r="C810" s="38">
        <v>476</v>
      </c>
      <c r="D810" s="38"/>
      <c r="E810" s="38" t="s">
        <v>553</v>
      </c>
      <c r="F810" s="38" t="s">
        <v>430</v>
      </c>
      <c r="G810" s="5">
        <v>3</v>
      </c>
      <c r="H810" s="5" t="s">
        <v>395</v>
      </c>
      <c r="I810" s="156" t="s">
        <v>243</v>
      </c>
    </row>
    <row r="811" spans="1:9" x14ac:dyDescent="0.25">
      <c r="A811" s="15">
        <v>11</v>
      </c>
      <c r="B811" s="46">
        <v>0.4381944444444445</v>
      </c>
      <c r="C811" s="38">
        <v>117</v>
      </c>
      <c r="D811" s="38" t="s">
        <v>97</v>
      </c>
      <c r="E811" s="38" t="s">
        <v>541</v>
      </c>
      <c r="F811" s="38" t="s">
        <v>276</v>
      </c>
      <c r="G811" s="5" t="s">
        <v>382</v>
      </c>
      <c r="H811" s="5" t="s">
        <v>395</v>
      </c>
      <c r="I811" s="156" t="s">
        <v>258</v>
      </c>
    </row>
    <row r="812" spans="1:9" x14ac:dyDescent="0.25">
      <c r="A812" s="22">
        <v>12</v>
      </c>
      <c r="B812" s="56">
        <v>0.44097222222222227</v>
      </c>
      <c r="C812" s="43"/>
      <c r="D812" s="43" t="s">
        <v>97</v>
      </c>
      <c r="E812" s="43" t="s">
        <v>418</v>
      </c>
      <c r="F812" s="43" t="s">
        <v>601</v>
      </c>
      <c r="G812" s="23" t="s">
        <v>113</v>
      </c>
      <c r="H812" s="23" t="s">
        <v>305</v>
      </c>
      <c r="I812" s="161" t="s">
        <v>243</v>
      </c>
    </row>
    <row r="813" spans="1:9" x14ac:dyDescent="0.25">
      <c r="A813" s="15">
        <v>13</v>
      </c>
      <c r="B813" s="46">
        <v>0.48055555555555557</v>
      </c>
      <c r="C813" s="38">
        <v>90</v>
      </c>
      <c r="D813" s="38"/>
      <c r="E813" s="38" t="s">
        <v>596</v>
      </c>
      <c r="F813" s="38" t="s">
        <v>497</v>
      </c>
      <c r="G813" s="5">
        <v>3</v>
      </c>
      <c r="H813" s="5" t="s">
        <v>395</v>
      </c>
      <c r="I813" s="156" t="s">
        <v>243</v>
      </c>
    </row>
    <row r="814" spans="1:9" x14ac:dyDescent="0.25">
      <c r="A814" s="15">
        <v>14</v>
      </c>
      <c r="B814" s="46">
        <v>0.49374999999999997</v>
      </c>
      <c r="C814" s="38">
        <v>468</v>
      </c>
      <c r="D814" s="38" t="s">
        <v>10</v>
      </c>
      <c r="E814" s="38" t="s">
        <v>553</v>
      </c>
      <c r="F814" s="38" t="s">
        <v>282</v>
      </c>
      <c r="G814" s="5">
        <v>12</v>
      </c>
      <c r="H814" s="5" t="s">
        <v>395</v>
      </c>
      <c r="I814" s="156" t="s">
        <v>243</v>
      </c>
    </row>
    <row r="815" spans="1:9" x14ac:dyDescent="0.25">
      <c r="A815" s="15">
        <v>15</v>
      </c>
      <c r="B815" s="46">
        <v>0.53055555555555556</v>
      </c>
      <c r="C815" s="38">
        <v>457</v>
      </c>
      <c r="D815" s="38"/>
      <c r="E815" s="38" t="s">
        <v>553</v>
      </c>
      <c r="F815" s="38" t="s">
        <v>310</v>
      </c>
      <c r="G815" s="5">
        <v>2</v>
      </c>
      <c r="H815" s="5" t="s">
        <v>395</v>
      </c>
      <c r="I815" s="156" t="s">
        <v>243</v>
      </c>
    </row>
    <row r="816" spans="1:9" x14ac:dyDescent="0.25">
      <c r="A816" s="15">
        <v>16</v>
      </c>
      <c r="B816" s="46">
        <v>0.53125</v>
      </c>
      <c r="C816" s="38">
        <v>90</v>
      </c>
      <c r="D816" s="38"/>
      <c r="E816" s="38" t="s">
        <v>596</v>
      </c>
      <c r="F816" s="38" t="s">
        <v>497</v>
      </c>
      <c r="G816" s="5">
        <v>5</v>
      </c>
      <c r="H816" s="5" t="s">
        <v>395</v>
      </c>
      <c r="I816" s="156" t="s">
        <v>243</v>
      </c>
    </row>
    <row r="817" spans="1:9" ht="19.5" thickBot="1" x14ac:dyDescent="0.3">
      <c r="A817" s="173" t="s">
        <v>602</v>
      </c>
      <c r="B817" s="174"/>
      <c r="C817" s="174"/>
      <c r="D817" s="174"/>
      <c r="E817" s="174"/>
      <c r="F817" s="174"/>
      <c r="G817" s="174"/>
      <c r="H817" s="174"/>
      <c r="I817" s="175"/>
    </row>
    <row r="818" spans="1:9" ht="19.5" thickBot="1" x14ac:dyDescent="0.3"/>
    <row r="819" spans="1:9" x14ac:dyDescent="0.25">
      <c r="A819" s="185">
        <v>46130</v>
      </c>
      <c r="B819" s="199"/>
      <c r="C819" s="199"/>
      <c r="D819" s="199"/>
      <c r="E819" s="199"/>
      <c r="F819" s="199"/>
      <c r="G819" s="199"/>
      <c r="H819" s="199"/>
      <c r="I819" s="200"/>
    </row>
    <row r="820" spans="1:9" x14ac:dyDescent="0.25">
      <c r="A820" s="15">
        <v>1</v>
      </c>
      <c r="B820" s="46">
        <v>4.7916666666666663E-2</v>
      </c>
      <c r="C820" s="38">
        <v>476</v>
      </c>
      <c r="D820" s="38" t="s">
        <v>97</v>
      </c>
      <c r="E820" s="38" t="s">
        <v>553</v>
      </c>
      <c r="F820" s="38" t="s">
        <v>315</v>
      </c>
      <c r="G820" s="5">
        <v>3</v>
      </c>
      <c r="H820" s="5" t="s">
        <v>395</v>
      </c>
      <c r="I820" s="156" t="s">
        <v>243</v>
      </c>
    </row>
    <row r="821" spans="1:9" x14ac:dyDescent="0.25">
      <c r="A821" s="15">
        <v>2</v>
      </c>
      <c r="B821" s="46">
        <v>9.0972222222222218E-2</v>
      </c>
      <c r="C821" s="38">
        <v>148</v>
      </c>
      <c r="D821" s="38" t="s">
        <v>97</v>
      </c>
      <c r="E821" s="38" t="s">
        <v>410</v>
      </c>
      <c r="F821" s="38" t="s">
        <v>594</v>
      </c>
      <c r="G821" s="5" t="s">
        <v>603</v>
      </c>
      <c r="H821" s="5" t="s">
        <v>395</v>
      </c>
      <c r="I821" s="156" t="s">
        <v>243</v>
      </c>
    </row>
    <row r="822" spans="1:9" x14ac:dyDescent="0.25">
      <c r="A822" s="15">
        <v>3</v>
      </c>
      <c r="B822" s="46">
        <v>0.11944444444444445</v>
      </c>
      <c r="C822" s="38">
        <v>473</v>
      </c>
      <c r="D822" s="38"/>
      <c r="E822" s="38" t="s">
        <v>309</v>
      </c>
      <c r="F822" s="38" t="s">
        <v>315</v>
      </c>
      <c r="G822" s="5">
        <v>5</v>
      </c>
      <c r="H822" s="5" t="s">
        <v>395</v>
      </c>
      <c r="I822" s="156" t="s">
        <v>243</v>
      </c>
    </row>
    <row r="823" spans="1:9" x14ac:dyDescent="0.25">
      <c r="A823" s="15">
        <v>4</v>
      </c>
      <c r="B823" s="46">
        <v>8.8888888888888892E-2</v>
      </c>
      <c r="C823" s="38">
        <v>473</v>
      </c>
      <c r="D823" s="38"/>
      <c r="E823" s="38" t="s">
        <v>309</v>
      </c>
      <c r="F823" s="38" t="s">
        <v>315</v>
      </c>
      <c r="G823" s="5">
        <v>5</v>
      </c>
      <c r="H823" s="5" t="s">
        <v>395</v>
      </c>
      <c r="I823" s="156" t="s">
        <v>243</v>
      </c>
    </row>
    <row r="824" spans="1:9" x14ac:dyDescent="0.25">
      <c r="A824" s="15">
        <v>5</v>
      </c>
      <c r="B824" s="46">
        <v>0.34166666666666662</v>
      </c>
      <c r="C824" s="38">
        <v>473</v>
      </c>
      <c r="D824" s="38"/>
      <c r="E824" s="38" t="s">
        <v>553</v>
      </c>
      <c r="F824" s="38" t="s">
        <v>497</v>
      </c>
      <c r="G824" s="5">
        <v>2</v>
      </c>
      <c r="H824" s="5" t="s">
        <v>395</v>
      </c>
      <c r="I824" s="156" t="s">
        <v>243</v>
      </c>
    </row>
    <row r="825" spans="1:9" x14ac:dyDescent="0.25">
      <c r="A825" s="15">
        <v>6</v>
      </c>
      <c r="B825" s="46">
        <v>0.36388888888888887</v>
      </c>
      <c r="C825" s="38">
        <v>457</v>
      </c>
      <c r="D825" s="38"/>
      <c r="E825" s="38" t="s">
        <v>553</v>
      </c>
      <c r="F825" s="38" t="s">
        <v>282</v>
      </c>
      <c r="G825" s="5">
        <v>3</v>
      </c>
      <c r="H825" s="5" t="s">
        <v>395</v>
      </c>
      <c r="I825" s="156" t="s">
        <v>243</v>
      </c>
    </row>
    <row r="826" spans="1:9" x14ac:dyDescent="0.25">
      <c r="A826" s="15">
        <v>7</v>
      </c>
      <c r="B826" s="46">
        <v>0.3659722222222222</v>
      </c>
      <c r="C826" s="38">
        <v>457</v>
      </c>
      <c r="D826" s="38"/>
      <c r="E826" s="38" t="s">
        <v>553</v>
      </c>
      <c r="F826" s="38" t="s">
        <v>604</v>
      </c>
      <c r="G826" s="5">
        <v>11</v>
      </c>
      <c r="H826" s="5" t="s">
        <v>395</v>
      </c>
      <c r="I826" s="156" t="s">
        <v>243</v>
      </c>
    </row>
    <row r="827" spans="1:9" x14ac:dyDescent="0.25">
      <c r="A827" s="15">
        <v>8</v>
      </c>
      <c r="B827" s="46">
        <v>0.36805555555555558</v>
      </c>
      <c r="C827" s="38">
        <v>471</v>
      </c>
      <c r="D827" s="38"/>
      <c r="E827" s="38" t="s">
        <v>553</v>
      </c>
      <c r="F827" s="38" t="s">
        <v>282</v>
      </c>
      <c r="G827" s="5">
        <v>5</v>
      </c>
      <c r="H827" s="5" t="s">
        <v>395</v>
      </c>
      <c r="I827" s="156" t="s">
        <v>243</v>
      </c>
    </row>
    <row r="828" spans="1:9" x14ac:dyDescent="0.25">
      <c r="A828" s="15">
        <v>9</v>
      </c>
      <c r="B828" s="46">
        <v>0.36527777777777781</v>
      </c>
      <c r="C828" s="38" t="s">
        <v>605</v>
      </c>
      <c r="D828" s="38"/>
      <c r="E828" s="38"/>
      <c r="F828" s="38" t="s">
        <v>606</v>
      </c>
      <c r="G828" s="5" t="s">
        <v>407</v>
      </c>
      <c r="H828" s="5" t="s">
        <v>395</v>
      </c>
      <c r="I828" s="157" t="s">
        <v>258</v>
      </c>
    </row>
    <row r="829" spans="1:9" x14ac:dyDescent="0.25">
      <c r="A829" s="15">
        <v>10</v>
      </c>
      <c r="B829" s="46">
        <v>0.40416666666666662</v>
      </c>
      <c r="C829" s="38">
        <v>475</v>
      </c>
      <c r="D829" s="38"/>
      <c r="E829" s="38" t="s">
        <v>416</v>
      </c>
      <c r="F829" s="38" t="s">
        <v>282</v>
      </c>
      <c r="G829" s="5">
        <v>2</v>
      </c>
      <c r="H829" s="5" t="s">
        <v>395</v>
      </c>
      <c r="I829" s="156" t="s">
        <v>243</v>
      </c>
    </row>
    <row r="830" spans="1:9" x14ac:dyDescent="0.25">
      <c r="A830" s="15">
        <v>11</v>
      </c>
      <c r="B830" s="46">
        <v>0.41666666666666669</v>
      </c>
      <c r="C830" s="38">
        <v>114</v>
      </c>
      <c r="D830" s="38" t="s">
        <v>10</v>
      </c>
      <c r="E830" s="38"/>
      <c r="F830" s="38" t="s">
        <v>597</v>
      </c>
      <c r="G830" s="5">
        <v>1</v>
      </c>
      <c r="H830" s="5" t="s">
        <v>395</v>
      </c>
      <c r="I830" s="157" t="s">
        <v>258</v>
      </c>
    </row>
    <row r="831" spans="1:9" x14ac:dyDescent="0.25">
      <c r="A831" s="22">
        <v>12</v>
      </c>
      <c r="B831" s="56">
        <v>0.39999999999999997</v>
      </c>
      <c r="C831" s="43"/>
      <c r="D831" s="43" t="s">
        <v>267</v>
      </c>
      <c r="E831" s="43" t="s">
        <v>541</v>
      </c>
      <c r="F831" s="43" t="s">
        <v>607</v>
      </c>
      <c r="G831" s="23" t="s">
        <v>234</v>
      </c>
      <c r="H831" s="23" t="s">
        <v>305</v>
      </c>
      <c r="I831" s="161" t="s">
        <v>243</v>
      </c>
    </row>
    <row r="832" spans="1:9" x14ac:dyDescent="0.25">
      <c r="A832" s="15">
        <v>13</v>
      </c>
      <c r="B832" s="46">
        <v>0.57986111111111105</v>
      </c>
      <c r="C832" s="38">
        <v>466</v>
      </c>
      <c r="D832" s="38"/>
      <c r="E832" s="38" t="s">
        <v>228</v>
      </c>
      <c r="F832" s="38" t="s">
        <v>282</v>
      </c>
      <c r="G832" s="5">
        <v>5</v>
      </c>
      <c r="H832" s="5" t="s">
        <v>395</v>
      </c>
      <c r="I832" s="156" t="s">
        <v>243</v>
      </c>
    </row>
    <row r="833" spans="1:9" x14ac:dyDescent="0.25">
      <c r="A833" s="15">
        <v>14</v>
      </c>
      <c r="B833" s="46">
        <v>0.61944444444444446</v>
      </c>
      <c r="C833" s="38">
        <v>476</v>
      </c>
      <c r="D833" s="38"/>
      <c r="E833" s="38" t="s">
        <v>416</v>
      </c>
      <c r="F833" s="38" t="s">
        <v>315</v>
      </c>
      <c r="G833" s="5">
        <v>3</v>
      </c>
      <c r="H833" s="5" t="s">
        <v>395</v>
      </c>
      <c r="I833" s="156" t="s">
        <v>243</v>
      </c>
    </row>
    <row r="834" spans="1:9" ht="19.5" thickBot="1" x14ac:dyDescent="0.3">
      <c r="A834" s="173" t="s">
        <v>608</v>
      </c>
      <c r="B834" s="174"/>
      <c r="C834" s="174"/>
      <c r="D834" s="174"/>
      <c r="E834" s="174"/>
      <c r="F834" s="174"/>
      <c r="G834" s="174"/>
      <c r="H834" s="174"/>
      <c r="I834" s="175"/>
    </row>
    <row r="835" spans="1:9" ht="19.5" thickBot="1" x14ac:dyDescent="0.3"/>
    <row r="836" spans="1:9" x14ac:dyDescent="0.25">
      <c r="A836" s="14">
        <v>1</v>
      </c>
      <c r="B836" s="45">
        <v>0.69374999999999998</v>
      </c>
      <c r="C836" s="37">
        <v>474</v>
      </c>
      <c r="D836" s="37" t="s">
        <v>97</v>
      </c>
      <c r="E836" s="37" t="s">
        <v>578</v>
      </c>
      <c r="F836" s="37" t="s">
        <v>282</v>
      </c>
      <c r="G836" s="151">
        <v>8</v>
      </c>
      <c r="H836" s="151" t="s">
        <v>395</v>
      </c>
      <c r="I836" s="155" t="s">
        <v>357</v>
      </c>
    </row>
    <row r="837" spans="1:9" x14ac:dyDescent="0.25">
      <c r="A837" s="15">
        <v>2</v>
      </c>
      <c r="B837" s="46">
        <v>0.71944444444444444</v>
      </c>
      <c r="C837" s="38">
        <v>2846</v>
      </c>
      <c r="D837" s="38" t="s">
        <v>97</v>
      </c>
      <c r="E837" s="38" t="s">
        <v>609</v>
      </c>
      <c r="F837" s="38" t="s">
        <v>610</v>
      </c>
      <c r="G837" s="5">
        <v>4</v>
      </c>
      <c r="H837" s="5" t="s">
        <v>395</v>
      </c>
      <c r="I837" s="156" t="s">
        <v>357</v>
      </c>
    </row>
    <row r="838" spans="1:9" x14ac:dyDescent="0.25">
      <c r="A838" s="15">
        <v>3</v>
      </c>
      <c r="B838" s="46">
        <v>0.77708333333333324</v>
      </c>
      <c r="C838" s="38">
        <v>93</v>
      </c>
      <c r="D838" s="38"/>
      <c r="E838" s="38" t="s">
        <v>611</v>
      </c>
      <c r="F838" s="38" t="s">
        <v>612</v>
      </c>
      <c r="G838" s="5">
        <v>4</v>
      </c>
      <c r="H838" s="5" t="s">
        <v>395</v>
      </c>
      <c r="I838" s="156" t="s">
        <v>357</v>
      </c>
    </row>
    <row r="839" spans="1:9" x14ac:dyDescent="0.25">
      <c r="A839" s="15">
        <v>4</v>
      </c>
      <c r="B839" s="46">
        <v>0.78541666666666676</v>
      </c>
      <c r="C839" s="38">
        <v>93</v>
      </c>
      <c r="D839" s="38"/>
      <c r="E839" s="38" t="s">
        <v>611</v>
      </c>
      <c r="F839" s="38" t="s">
        <v>282</v>
      </c>
      <c r="G839" s="5">
        <v>3</v>
      </c>
      <c r="H839" s="5" t="s">
        <v>395</v>
      </c>
      <c r="I839" s="156" t="s">
        <v>357</v>
      </c>
    </row>
    <row r="840" spans="1:9" x14ac:dyDescent="0.25">
      <c r="A840" s="179">
        <v>46131</v>
      </c>
      <c r="B840" s="180"/>
      <c r="C840" s="180"/>
      <c r="D840" s="180"/>
      <c r="E840" s="180"/>
      <c r="F840" s="180"/>
      <c r="G840" s="180"/>
      <c r="H840" s="180"/>
      <c r="I840" s="181"/>
    </row>
    <row r="841" spans="1:9" x14ac:dyDescent="0.25">
      <c r="A841" s="15">
        <v>5</v>
      </c>
      <c r="B841" s="46">
        <v>0.13472222222222222</v>
      </c>
      <c r="C841" s="38">
        <v>473</v>
      </c>
      <c r="D841" s="38"/>
      <c r="E841" s="38" t="s">
        <v>309</v>
      </c>
      <c r="F841" s="38" t="s">
        <v>315</v>
      </c>
      <c r="G841" s="5">
        <v>2</v>
      </c>
      <c r="H841" s="5" t="s">
        <v>395</v>
      </c>
      <c r="I841" s="156" t="s">
        <v>357</v>
      </c>
    </row>
    <row r="842" spans="1:9" x14ac:dyDescent="0.25">
      <c r="A842" s="15">
        <v>6</v>
      </c>
      <c r="B842" s="46">
        <v>0.17013888888888887</v>
      </c>
      <c r="C842" s="38">
        <v>469</v>
      </c>
      <c r="D842" s="38"/>
      <c r="E842" s="38" t="s">
        <v>309</v>
      </c>
      <c r="F842" s="38" t="s">
        <v>315</v>
      </c>
      <c r="G842" s="5">
        <v>4</v>
      </c>
      <c r="H842" s="5" t="s">
        <v>395</v>
      </c>
      <c r="I842" s="156" t="s">
        <v>357</v>
      </c>
    </row>
    <row r="843" spans="1:9" x14ac:dyDescent="0.25">
      <c r="A843" s="15">
        <v>7</v>
      </c>
      <c r="B843" s="46">
        <v>0.20833333333333334</v>
      </c>
      <c r="C843" s="38">
        <v>473</v>
      </c>
      <c r="D843" s="38"/>
      <c r="E843" s="38" t="s">
        <v>309</v>
      </c>
      <c r="F843" s="38" t="s">
        <v>315</v>
      </c>
      <c r="G843" s="5">
        <v>2</v>
      </c>
      <c r="H843" s="5" t="s">
        <v>395</v>
      </c>
      <c r="I843" s="156" t="s">
        <v>357</v>
      </c>
    </row>
    <row r="844" spans="1:9" x14ac:dyDescent="0.25">
      <c r="A844" s="15">
        <v>8</v>
      </c>
      <c r="B844" s="46">
        <v>0.3034722222222222</v>
      </c>
      <c r="C844" s="38">
        <v>457</v>
      </c>
      <c r="D844" s="38"/>
      <c r="E844" s="38" t="s">
        <v>22</v>
      </c>
      <c r="F844" s="38" t="s">
        <v>282</v>
      </c>
      <c r="G844" s="5">
        <v>2</v>
      </c>
      <c r="H844" s="5" t="s">
        <v>395</v>
      </c>
      <c r="I844" s="156" t="s">
        <v>357</v>
      </c>
    </row>
    <row r="845" spans="1:9" x14ac:dyDescent="0.25">
      <c r="A845" s="15">
        <v>9</v>
      </c>
      <c r="B845" s="46">
        <v>0.30486111111111108</v>
      </c>
      <c r="C845" s="38">
        <v>468</v>
      </c>
      <c r="D845" s="38"/>
      <c r="E845" s="38" t="s">
        <v>22</v>
      </c>
      <c r="F845" s="38" t="s">
        <v>497</v>
      </c>
      <c r="G845" s="5">
        <v>3</v>
      </c>
      <c r="H845" s="5" t="s">
        <v>395</v>
      </c>
      <c r="I845" s="156" t="s">
        <v>357</v>
      </c>
    </row>
    <row r="846" spans="1:9" x14ac:dyDescent="0.25">
      <c r="A846" s="15">
        <v>10</v>
      </c>
      <c r="B846" s="46">
        <v>0.41666666666666669</v>
      </c>
      <c r="C846" s="38">
        <v>456</v>
      </c>
      <c r="D846" s="38"/>
      <c r="E846" s="38" t="s">
        <v>22</v>
      </c>
      <c r="F846" s="38" t="s">
        <v>297</v>
      </c>
      <c r="G846" s="5">
        <v>1</v>
      </c>
      <c r="H846" s="5" t="s">
        <v>395</v>
      </c>
      <c r="I846" s="156" t="s">
        <v>357</v>
      </c>
    </row>
    <row r="847" spans="1:9" x14ac:dyDescent="0.25">
      <c r="A847" s="15">
        <v>11</v>
      </c>
      <c r="B847" s="46">
        <v>0.45833333333333331</v>
      </c>
      <c r="C847" s="38">
        <v>456</v>
      </c>
      <c r="D847" s="38"/>
      <c r="E847" s="38" t="s">
        <v>22</v>
      </c>
      <c r="F847" s="38" t="s">
        <v>497</v>
      </c>
      <c r="G847" s="5">
        <v>2</v>
      </c>
      <c r="H847" s="5" t="s">
        <v>395</v>
      </c>
      <c r="I847" s="156" t="s">
        <v>357</v>
      </c>
    </row>
    <row r="848" spans="1:9" x14ac:dyDescent="0.25">
      <c r="A848" s="15">
        <v>12</v>
      </c>
      <c r="B848" s="46">
        <v>0.47291666666666665</v>
      </c>
      <c r="C848" s="38">
        <v>455</v>
      </c>
      <c r="D848" s="38"/>
      <c r="E848" s="38" t="s">
        <v>22</v>
      </c>
      <c r="F848" s="38" t="s">
        <v>310</v>
      </c>
      <c r="G848" s="5">
        <v>4</v>
      </c>
      <c r="H848" s="5" t="s">
        <v>395</v>
      </c>
      <c r="I848" s="156" t="s">
        <v>357</v>
      </c>
    </row>
    <row r="849" spans="1:9" x14ac:dyDescent="0.25">
      <c r="A849" s="15">
        <v>13</v>
      </c>
      <c r="B849" s="46">
        <v>0.48194444444444445</v>
      </c>
      <c r="C849" s="38" t="s">
        <v>615</v>
      </c>
      <c r="D849" s="38"/>
      <c r="E849" s="38" t="s">
        <v>22</v>
      </c>
      <c r="F849" s="38" t="s">
        <v>616</v>
      </c>
      <c r="G849" s="5">
        <v>3</v>
      </c>
      <c r="H849" s="5" t="s">
        <v>395</v>
      </c>
      <c r="I849" s="156" t="s">
        <v>357</v>
      </c>
    </row>
    <row r="850" spans="1:9" x14ac:dyDescent="0.25">
      <c r="A850" s="22">
        <v>14</v>
      </c>
      <c r="B850" s="56">
        <v>0.49374999999999997</v>
      </c>
      <c r="C850" s="43"/>
      <c r="D850" s="43" t="s">
        <v>622</v>
      </c>
      <c r="E850" s="43" t="s">
        <v>553</v>
      </c>
      <c r="F850" s="43" t="s">
        <v>617</v>
      </c>
      <c r="G850" s="23" t="s">
        <v>73</v>
      </c>
      <c r="H850" s="23" t="s">
        <v>305</v>
      </c>
      <c r="I850" s="161" t="s">
        <v>357</v>
      </c>
    </row>
    <row r="851" spans="1:9" x14ac:dyDescent="0.25">
      <c r="A851" s="15">
        <v>15</v>
      </c>
      <c r="B851" s="46">
        <v>0.50624999999999998</v>
      </c>
      <c r="C851" s="38">
        <v>617</v>
      </c>
      <c r="D851" s="38"/>
      <c r="E851" s="38" t="s">
        <v>212</v>
      </c>
      <c r="F851" s="38" t="s">
        <v>310</v>
      </c>
      <c r="G851" s="5">
        <v>10</v>
      </c>
      <c r="H851" s="5" t="s">
        <v>395</v>
      </c>
      <c r="I851" s="156" t="s">
        <v>357</v>
      </c>
    </row>
    <row r="852" spans="1:9" x14ac:dyDescent="0.25">
      <c r="A852" s="15">
        <v>16</v>
      </c>
      <c r="B852" s="46">
        <v>0.53611111111111109</v>
      </c>
      <c r="C852" s="38">
        <v>473</v>
      </c>
      <c r="D852" s="38"/>
      <c r="E852" s="38" t="s">
        <v>416</v>
      </c>
      <c r="F852" s="38" t="s">
        <v>310</v>
      </c>
      <c r="G852" s="5">
        <v>1</v>
      </c>
      <c r="H852" s="5" t="s">
        <v>395</v>
      </c>
      <c r="I852" s="156" t="s">
        <v>357</v>
      </c>
    </row>
    <row r="853" spans="1:9" x14ac:dyDescent="0.25">
      <c r="A853" s="15">
        <v>17</v>
      </c>
      <c r="B853" s="46">
        <v>0.53888888888888886</v>
      </c>
      <c r="C853" s="38" t="s">
        <v>376</v>
      </c>
      <c r="D853" s="38"/>
      <c r="E853" s="38"/>
      <c r="F853" s="38" t="s">
        <v>618</v>
      </c>
      <c r="G853" s="5" t="s">
        <v>114</v>
      </c>
      <c r="H853" s="5" t="s">
        <v>395</v>
      </c>
      <c r="I853" s="157" t="s">
        <v>383</v>
      </c>
    </row>
    <row r="854" spans="1:9" x14ac:dyDescent="0.25">
      <c r="A854" s="15">
        <v>18</v>
      </c>
      <c r="B854" s="46">
        <v>0.55694444444444446</v>
      </c>
      <c r="C854" s="38">
        <v>473</v>
      </c>
      <c r="D854" s="38"/>
      <c r="E854" s="38" t="s">
        <v>416</v>
      </c>
      <c r="F854" s="38" t="s">
        <v>311</v>
      </c>
      <c r="G854" s="5">
        <v>5</v>
      </c>
      <c r="H854" s="5" t="s">
        <v>395</v>
      </c>
      <c r="I854" s="156" t="s">
        <v>357</v>
      </c>
    </row>
    <row r="855" spans="1:9" x14ac:dyDescent="0.25">
      <c r="A855" s="22">
        <v>19</v>
      </c>
      <c r="B855" s="56">
        <v>0.56041666666666667</v>
      </c>
      <c r="C855" s="43"/>
      <c r="D855" s="43" t="s">
        <v>97</v>
      </c>
      <c r="E855" s="43" t="s">
        <v>412</v>
      </c>
      <c r="F855" s="43" t="s">
        <v>619</v>
      </c>
      <c r="G855" s="23">
        <v>10</v>
      </c>
      <c r="H855" s="23" t="s">
        <v>305</v>
      </c>
      <c r="I855" s="161" t="s">
        <v>357</v>
      </c>
    </row>
    <row r="856" spans="1:9" x14ac:dyDescent="0.25">
      <c r="A856" s="15">
        <v>20</v>
      </c>
      <c r="B856" s="46">
        <v>0.58819444444444446</v>
      </c>
      <c r="C856" s="38">
        <v>473</v>
      </c>
      <c r="D856" s="38"/>
      <c r="E856" s="38" t="s">
        <v>416</v>
      </c>
      <c r="F856" s="38" t="s">
        <v>497</v>
      </c>
      <c r="G856" s="5">
        <v>6</v>
      </c>
      <c r="H856" s="5" t="s">
        <v>395</v>
      </c>
      <c r="I856" s="156" t="s">
        <v>357</v>
      </c>
    </row>
    <row r="857" spans="1:9" x14ac:dyDescent="0.25">
      <c r="A857" s="15">
        <v>21</v>
      </c>
      <c r="B857" s="46">
        <v>0.62777777777777777</v>
      </c>
      <c r="C857" s="38">
        <v>616</v>
      </c>
      <c r="D857" s="38"/>
      <c r="E857" s="38" t="s">
        <v>237</v>
      </c>
      <c r="F857" s="38" t="s">
        <v>315</v>
      </c>
      <c r="G857" s="5">
        <v>10</v>
      </c>
      <c r="H857" s="5" t="s">
        <v>395</v>
      </c>
      <c r="I857" s="156" t="s">
        <v>357</v>
      </c>
    </row>
    <row r="858" spans="1:9" ht="19.5" thickBot="1" x14ac:dyDescent="0.3">
      <c r="A858" s="173" t="s">
        <v>620</v>
      </c>
      <c r="B858" s="174"/>
      <c r="C858" s="174"/>
      <c r="D858" s="174"/>
      <c r="E858" s="174"/>
      <c r="F858" s="174"/>
      <c r="G858" s="174"/>
      <c r="H858" s="174"/>
      <c r="I858" s="175"/>
    </row>
    <row r="859" spans="1:9" ht="19.5" thickBot="1" x14ac:dyDescent="0.3"/>
    <row r="860" spans="1:9" x14ac:dyDescent="0.25">
      <c r="A860" s="14">
        <v>1</v>
      </c>
      <c r="B860" s="45">
        <v>0.6743055555555556</v>
      </c>
      <c r="C860" s="37" t="s">
        <v>502</v>
      </c>
      <c r="D860" s="37" t="s">
        <v>97</v>
      </c>
      <c r="E860" s="37"/>
      <c r="F860" s="37" t="s">
        <v>621</v>
      </c>
      <c r="G860" s="151" t="s">
        <v>158</v>
      </c>
      <c r="H860" s="151" t="s">
        <v>395</v>
      </c>
      <c r="I860" s="167" t="s">
        <v>383</v>
      </c>
    </row>
    <row r="861" spans="1:9" x14ac:dyDescent="0.25">
      <c r="A861" s="15">
        <v>2</v>
      </c>
      <c r="B861" s="46">
        <v>0.72638888888888886</v>
      </c>
      <c r="C861" s="38">
        <v>466</v>
      </c>
      <c r="D861" s="38" t="s">
        <v>97</v>
      </c>
      <c r="E861" s="38" t="s">
        <v>228</v>
      </c>
      <c r="F861" s="38" t="s">
        <v>310</v>
      </c>
      <c r="G861" s="5">
        <v>7</v>
      </c>
      <c r="H861" s="5" t="s">
        <v>395</v>
      </c>
      <c r="I861" s="156" t="s">
        <v>357</v>
      </c>
    </row>
    <row r="862" spans="1:9" x14ac:dyDescent="0.25">
      <c r="A862" s="15">
        <v>3</v>
      </c>
      <c r="B862" s="46">
        <v>0.85763888888888884</v>
      </c>
      <c r="C862" s="38">
        <v>616</v>
      </c>
      <c r="D862" s="38" t="s">
        <v>97</v>
      </c>
      <c r="E862" s="38" t="s">
        <v>237</v>
      </c>
      <c r="F862" s="38" t="s">
        <v>315</v>
      </c>
      <c r="G862" s="5">
        <v>10</v>
      </c>
      <c r="H862" s="5" t="s">
        <v>395</v>
      </c>
      <c r="I862" s="156" t="s">
        <v>357</v>
      </c>
    </row>
    <row r="863" spans="1:9" x14ac:dyDescent="0.25">
      <c r="A863" s="179">
        <v>46132</v>
      </c>
      <c r="B863" s="180"/>
      <c r="C863" s="180"/>
      <c r="D863" s="180"/>
      <c r="E863" s="180"/>
      <c r="F863" s="180"/>
      <c r="G863" s="180"/>
      <c r="H863" s="180"/>
      <c r="I863" s="181"/>
    </row>
    <row r="864" spans="1:9" x14ac:dyDescent="0.25">
      <c r="A864" s="15">
        <v>4</v>
      </c>
      <c r="B864" s="46">
        <v>0.11319444444444444</v>
      </c>
      <c r="C864" s="38">
        <v>677</v>
      </c>
      <c r="D864" s="38" t="s">
        <v>97</v>
      </c>
      <c r="E864" s="38" t="s">
        <v>187</v>
      </c>
      <c r="F864" s="38" t="s">
        <v>625</v>
      </c>
      <c r="G864" s="5" t="s">
        <v>626</v>
      </c>
      <c r="H864" s="5" t="s">
        <v>395</v>
      </c>
      <c r="I864" s="156" t="s">
        <v>357</v>
      </c>
    </row>
    <row r="865" spans="1:9" x14ac:dyDescent="0.25">
      <c r="A865" s="15">
        <v>5</v>
      </c>
      <c r="B865" s="46">
        <v>0.34236111111111112</v>
      </c>
      <c r="C865" s="38" t="s">
        <v>376</v>
      </c>
      <c r="D865" s="38"/>
      <c r="E865" s="38" t="s">
        <v>416</v>
      </c>
      <c r="F865" s="38" t="s">
        <v>616</v>
      </c>
      <c r="G865" s="5">
        <v>1</v>
      </c>
      <c r="H865" s="5" t="s">
        <v>395</v>
      </c>
      <c r="I865" s="156" t="s">
        <v>357</v>
      </c>
    </row>
    <row r="866" spans="1:9" x14ac:dyDescent="0.25">
      <c r="A866" s="15">
        <v>6</v>
      </c>
      <c r="B866" s="46">
        <v>0.34375</v>
      </c>
      <c r="C866" s="38">
        <v>473</v>
      </c>
      <c r="D866" s="38"/>
      <c r="E866" s="38" t="s">
        <v>416</v>
      </c>
      <c r="F866" s="38" t="s">
        <v>497</v>
      </c>
      <c r="G866" s="5">
        <v>2</v>
      </c>
      <c r="H866" s="5" t="s">
        <v>395</v>
      </c>
      <c r="I866" s="156" t="s">
        <v>357</v>
      </c>
    </row>
    <row r="867" spans="1:9" x14ac:dyDescent="0.25">
      <c r="A867" s="15">
        <v>7</v>
      </c>
      <c r="B867" s="46">
        <v>0.3444444444444445</v>
      </c>
      <c r="C867" s="38">
        <v>476</v>
      </c>
      <c r="D867" s="38"/>
      <c r="E867" s="38" t="s">
        <v>416</v>
      </c>
      <c r="F867" s="38" t="s">
        <v>282</v>
      </c>
      <c r="G867" s="5">
        <v>1</v>
      </c>
      <c r="H867" s="5" t="s">
        <v>395</v>
      </c>
      <c r="I867" s="156" t="s">
        <v>357</v>
      </c>
    </row>
    <row r="868" spans="1:9" x14ac:dyDescent="0.25">
      <c r="A868" s="15">
        <v>8</v>
      </c>
      <c r="B868" s="46">
        <v>0.40486111111111112</v>
      </c>
      <c r="C868" s="38">
        <v>456</v>
      </c>
      <c r="D868" s="38"/>
      <c r="E868" s="38" t="s">
        <v>22</v>
      </c>
      <c r="F868" s="38" t="s">
        <v>282</v>
      </c>
      <c r="G868" s="5">
        <v>1</v>
      </c>
      <c r="H868" s="5" t="s">
        <v>395</v>
      </c>
      <c r="I868" s="156" t="s">
        <v>357</v>
      </c>
    </row>
    <row r="869" spans="1:9" x14ac:dyDescent="0.25">
      <c r="A869" s="22">
        <v>9</v>
      </c>
      <c r="B869" s="56">
        <v>0.4069444444444445</v>
      </c>
      <c r="C869" s="43"/>
      <c r="D869" s="43" t="s">
        <v>97</v>
      </c>
      <c r="E869" s="43" t="s">
        <v>418</v>
      </c>
      <c r="F869" s="43" t="s">
        <v>619</v>
      </c>
      <c r="G869" s="23" t="s">
        <v>41</v>
      </c>
      <c r="H869" s="23" t="s">
        <v>305</v>
      </c>
      <c r="I869" s="161" t="s">
        <v>357</v>
      </c>
    </row>
    <row r="870" spans="1:9" x14ac:dyDescent="0.25">
      <c r="A870" s="15">
        <v>10</v>
      </c>
      <c r="B870" s="46">
        <v>0.45624999999999999</v>
      </c>
      <c r="C870" s="38">
        <v>441</v>
      </c>
      <c r="D870" s="38" t="s">
        <v>97</v>
      </c>
      <c r="E870" s="38" t="s">
        <v>217</v>
      </c>
      <c r="F870" s="38" t="s">
        <v>282</v>
      </c>
      <c r="G870" s="5">
        <v>10</v>
      </c>
      <c r="H870" s="5" t="s">
        <v>395</v>
      </c>
      <c r="I870" s="156" t="s">
        <v>357</v>
      </c>
    </row>
    <row r="871" spans="1:9" x14ac:dyDescent="0.25">
      <c r="A871" s="15">
        <v>11</v>
      </c>
      <c r="B871" s="46">
        <v>0.47986111111111113</v>
      </c>
      <c r="C871" s="38" t="s">
        <v>376</v>
      </c>
      <c r="D871" s="38"/>
      <c r="E871" s="38" t="s">
        <v>416</v>
      </c>
      <c r="F871" s="38" t="s">
        <v>616</v>
      </c>
      <c r="G871" s="5">
        <v>1</v>
      </c>
      <c r="H871" s="5" t="s">
        <v>395</v>
      </c>
      <c r="I871" s="156" t="s">
        <v>357</v>
      </c>
    </row>
    <row r="872" spans="1:9" x14ac:dyDescent="0.25">
      <c r="A872" s="15">
        <v>12</v>
      </c>
      <c r="B872" s="46">
        <v>0.50138888888888888</v>
      </c>
      <c r="C872" s="38">
        <v>616</v>
      </c>
      <c r="D872" s="38" t="s">
        <v>97</v>
      </c>
      <c r="E872" s="38" t="s">
        <v>212</v>
      </c>
      <c r="F872" s="38" t="s">
        <v>315</v>
      </c>
      <c r="G872" s="5">
        <v>10</v>
      </c>
      <c r="H872" s="5" t="s">
        <v>395</v>
      </c>
      <c r="I872" s="156" t="s">
        <v>357</v>
      </c>
    </row>
    <row r="873" spans="1:9" x14ac:dyDescent="0.25">
      <c r="A873" s="15">
        <v>13</v>
      </c>
      <c r="B873" s="46">
        <v>0.50902777777777775</v>
      </c>
      <c r="C873" s="38">
        <v>473</v>
      </c>
      <c r="D873" s="38"/>
      <c r="E873" s="38" t="s">
        <v>416</v>
      </c>
      <c r="F873" s="38" t="s">
        <v>497</v>
      </c>
      <c r="G873" s="5">
        <v>2</v>
      </c>
      <c r="H873" s="5" t="s">
        <v>395</v>
      </c>
      <c r="I873" s="156" t="s">
        <v>357</v>
      </c>
    </row>
    <row r="874" spans="1:9" x14ac:dyDescent="0.25">
      <c r="A874" s="22">
        <v>14</v>
      </c>
      <c r="B874" s="56">
        <v>0.5493055555555556</v>
      </c>
      <c r="C874" s="43"/>
      <c r="D874" s="43" t="s">
        <v>627</v>
      </c>
      <c r="E874" s="43" t="s">
        <v>47</v>
      </c>
      <c r="F874" s="43" t="s">
        <v>310</v>
      </c>
      <c r="G874" s="23" t="s">
        <v>113</v>
      </c>
      <c r="H874" s="23" t="s">
        <v>305</v>
      </c>
      <c r="I874" s="161" t="s">
        <v>357</v>
      </c>
    </row>
    <row r="875" spans="1:9" x14ac:dyDescent="0.25">
      <c r="A875" s="15">
        <v>15</v>
      </c>
      <c r="B875" s="46">
        <v>0.59722222222222221</v>
      </c>
      <c r="C875" s="38">
        <v>621</v>
      </c>
      <c r="D875" s="38" t="s">
        <v>97</v>
      </c>
      <c r="E875" s="38" t="s">
        <v>187</v>
      </c>
      <c r="F875" s="38" t="s">
        <v>310</v>
      </c>
      <c r="G875" s="5">
        <v>10</v>
      </c>
      <c r="H875" s="5" t="s">
        <v>395</v>
      </c>
      <c r="I875" s="156" t="s">
        <v>357</v>
      </c>
    </row>
    <row r="876" spans="1:9" ht="19.5" thickBot="1" x14ac:dyDescent="0.3">
      <c r="A876" s="173" t="s">
        <v>628</v>
      </c>
      <c r="B876" s="174"/>
      <c r="C876" s="174"/>
      <c r="D876" s="174"/>
      <c r="E876" s="174"/>
      <c r="F876" s="174"/>
      <c r="G876" s="174"/>
      <c r="H876" s="174"/>
      <c r="I876" s="175"/>
    </row>
    <row r="877" spans="1:9" ht="19.5" thickBot="1" x14ac:dyDescent="0.3"/>
    <row r="878" spans="1:9" x14ac:dyDescent="0.25">
      <c r="A878" s="14">
        <v>1</v>
      </c>
      <c r="B878" s="45">
        <v>0.78263888888888899</v>
      </c>
      <c r="C878" s="37">
        <v>133</v>
      </c>
      <c r="D878" s="37" t="s">
        <v>10</v>
      </c>
      <c r="E878" s="37" t="s">
        <v>47</v>
      </c>
      <c r="F878" s="37" t="s">
        <v>469</v>
      </c>
      <c r="G878" s="151">
        <v>3</v>
      </c>
      <c r="H878" s="151" t="s">
        <v>395</v>
      </c>
      <c r="I878" s="155" t="s">
        <v>243</v>
      </c>
    </row>
    <row r="879" spans="1:9" x14ac:dyDescent="0.25">
      <c r="A879" s="15">
        <v>2</v>
      </c>
      <c r="B879" s="46">
        <v>0.85138888888888886</v>
      </c>
      <c r="C879" s="38">
        <v>473</v>
      </c>
      <c r="D879" s="38"/>
      <c r="E879" s="38" t="s">
        <v>416</v>
      </c>
      <c r="F879" s="38" t="s">
        <v>497</v>
      </c>
      <c r="G879" s="5">
        <v>10</v>
      </c>
      <c r="H879" s="5" t="s">
        <v>395</v>
      </c>
      <c r="I879" s="156" t="s">
        <v>357</v>
      </c>
    </row>
    <row r="880" spans="1:9" x14ac:dyDescent="0.25">
      <c r="A880" s="179">
        <v>46133</v>
      </c>
      <c r="B880" s="180"/>
      <c r="C880" s="180"/>
      <c r="D880" s="180"/>
      <c r="E880" s="180"/>
      <c r="F880" s="180"/>
      <c r="G880" s="180"/>
      <c r="H880" s="180"/>
      <c r="I880" s="181"/>
    </row>
    <row r="881" spans="1:9" x14ac:dyDescent="0.25">
      <c r="A881" s="15">
        <v>3</v>
      </c>
      <c r="B881" s="46">
        <v>3.1944444444444449E-2</v>
      </c>
      <c r="C881" s="38">
        <v>615</v>
      </c>
      <c r="D881" s="38" t="s">
        <v>10</v>
      </c>
      <c r="E881" s="38" t="s">
        <v>484</v>
      </c>
      <c r="F881" s="38" t="s">
        <v>497</v>
      </c>
      <c r="G881" s="5">
        <v>4</v>
      </c>
      <c r="H881" s="5" t="s">
        <v>395</v>
      </c>
      <c r="I881" s="156" t="s">
        <v>357</v>
      </c>
    </row>
    <row r="882" spans="1:9" x14ac:dyDescent="0.25">
      <c r="A882" s="15">
        <v>4</v>
      </c>
      <c r="B882" s="46">
        <v>4.3750000000000004E-2</v>
      </c>
      <c r="C882" s="38">
        <v>622</v>
      </c>
      <c r="D882" s="38" t="s">
        <v>10</v>
      </c>
      <c r="E882" s="38" t="s">
        <v>167</v>
      </c>
      <c r="F882" s="38" t="s">
        <v>282</v>
      </c>
      <c r="G882" s="5">
        <v>2</v>
      </c>
      <c r="H882" s="5" t="s">
        <v>395</v>
      </c>
      <c r="I882" s="156" t="s">
        <v>357</v>
      </c>
    </row>
    <row r="883" spans="1:9" x14ac:dyDescent="0.25">
      <c r="A883" s="15">
        <v>5</v>
      </c>
      <c r="B883" s="46">
        <v>5.2777777777777778E-2</v>
      </c>
      <c r="C883" s="38">
        <v>615</v>
      </c>
      <c r="D883" s="38" t="s">
        <v>10</v>
      </c>
      <c r="E883" s="38" t="s">
        <v>484</v>
      </c>
      <c r="F883" s="38" t="s">
        <v>315</v>
      </c>
      <c r="G883" s="5">
        <v>2</v>
      </c>
      <c r="H883" s="5" t="s">
        <v>395</v>
      </c>
      <c r="I883" s="156" t="s">
        <v>357</v>
      </c>
    </row>
    <row r="884" spans="1:9" x14ac:dyDescent="0.25">
      <c r="A884" s="15">
        <v>6</v>
      </c>
      <c r="B884" s="46">
        <v>0.13333333333333333</v>
      </c>
      <c r="C884" s="38">
        <v>626</v>
      </c>
      <c r="D884" s="38" t="s">
        <v>10</v>
      </c>
      <c r="E884" s="38" t="s">
        <v>117</v>
      </c>
      <c r="F884" s="38" t="s">
        <v>282</v>
      </c>
      <c r="G884" s="5">
        <v>2</v>
      </c>
      <c r="H884" s="5" t="s">
        <v>395</v>
      </c>
      <c r="I884" s="156" t="s">
        <v>357</v>
      </c>
    </row>
    <row r="885" spans="1:9" x14ac:dyDescent="0.25">
      <c r="A885" s="15">
        <v>7</v>
      </c>
      <c r="B885" s="46">
        <v>0.21527777777777779</v>
      </c>
      <c r="C885" s="38">
        <v>615</v>
      </c>
      <c r="D885" s="38" t="s">
        <v>10</v>
      </c>
      <c r="E885" s="38" t="s">
        <v>484</v>
      </c>
      <c r="F885" s="38" t="s">
        <v>315</v>
      </c>
      <c r="G885" s="5">
        <v>3</v>
      </c>
      <c r="H885" s="5" t="s">
        <v>395</v>
      </c>
      <c r="I885" s="156" t="s">
        <v>357</v>
      </c>
    </row>
    <row r="886" spans="1:9" x14ac:dyDescent="0.25">
      <c r="A886" s="15">
        <v>8</v>
      </c>
      <c r="B886" s="46">
        <v>0.22222222222222221</v>
      </c>
      <c r="C886" s="38">
        <v>628</v>
      </c>
      <c r="D886" s="38" t="s">
        <v>10</v>
      </c>
      <c r="E886" s="38" t="s">
        <v>117</v>
      </c>
      <c r="F886" s="38" t="s">
        <v>282</v>
      </c>
      <c r="G886" s="5">
        <v>2</v>
      </c>
      <c r="H886" s="5" t="s">
        <v>395</v>
      </c>
      <c r="I886" s="156" t="s">
        <v>357</v>
      </c>
    </row>
    <row r="887" spans="1:9" x14ac:dyDescent="0.25">
      <c r="A887" s="15">
        <v>9</v>
      </c>
      <c r="B887" s="46">
        <v>0.31319444444444444</v>
      </c>
      <c r="C887" s="38">
        <v>471</v>
      </c>
      <c r="D887" s="38"/>
      <c r="E887" s="38" t="s">
        <v>416</v>
      </c>
      <c r="F887" s="38" t="s">
        <v>282</v>
      </c>
      <c r="G887" s="5">
        <v>2</v>
      </c>
      <c r="H887" s="5" t="s">
        <v>395</v>
      </c>
      <c r="I887" s="156" t="s">
        <v>357</v>
      </c>
    </row>
    <row r="888" spans="1:9" x14ac:dyDescent="0.25">
      <c r="A888" s="15">
        <v>10</v>
      </c>
      <c r="B888" s="46">
        <v>0.31458333333333333</v>
      </c>
      <c r="C888" s="38">
        <v>471</v>
      </c>
      <c r="D888" s="38"/>
      <c r="E888" s="38" t="s">
        <v>416</v>
      </c>
      <c r="F888" s="38" t="s">
        <v>315</v>
      </c>
      <c r="G888" s="5">
        <v>8</v>
      </c>
      <c r="H888" s="5" t="s">
        <v>395</v>
      </c>
      <c r="I888" s="156" t="s">
        <v>357</v>
      </c>
    </row>
    <row r="889" spans="1:9" x14ac:dyDescent="0.25">
      <c r="A889" s="15">
        <v>11</v>
      </c>
      <c r="B889" s="46">
        <v>0.31527777777777777</v>
      </c>
      <c r="C889" s="38">
        <v>622</v>
      </c>
      <c r="D889" s="38"/>
      <c r="E889" s="38" t="s">
        <v>187</v>
      </c>
      <c r="F889" s="38" t="s">
        <v>310</v>
      </c>
      <c r="G889" s="5">
        <v>2</v>
      </c>
      <c r="H889" s="5" t="s">
        <v>395</v>
      </c>
      <c r="I889" s="156" t="s">
        <v>357</v>
      </c>
    </row>
    <row r="890" spans="1:9" x14ac:dyDescent="0.25">
      <c r="A890" s="15">
        <v>12</v>
      </c>
      <c r="B890" s="46">
        <v>0.31666666666666665</v>
      </c>
      <c r="C890" s="38">
        <v>468</v>
      </c>
      <c r="D890" s="38"/>
      <c r="E890" s="38" t="s">
        <v>22</v>
      </c>
      <c r="F890" s="38" t="s">
        <v>497</v>
      </c>
      <c r="G890" s="5">
        <v>2</v>
      </c>
      <c r="H890" s="5" t="s">
        <v>395</v>
      </c>
      <c r="I890" s="156" t="s">
        <v>357</v>
      </c>
    </row>
    <row r="891" spans="1:9" x14ac:dyDescent="0.25">
      <c r="A891" s="15">
        <v>13</v>
      </c>
      <c r="B891" s="46">
        <v>0.31805555555555554</v>
      </c>
      <c r="C891" s="38">
        <v>615</v>
      </c>
      <c r="D891" s="38"/>
      <c r="E891" s="38" t="s">
        <v>598</v>
      </c>
      <c r="F891" s="38" t="s">
        <v>315</v>
      </c>
      <c r="G891" s="5">
        <v>2</v>
      </c>
      <c r="H891" s="5" t="s">
        <v>395</v>
      </c>
      <c r="I891" s="156" t="s">
        <v>357</v>
      </c>
    </row>
    <row r="892" spans="1:9" x14ac:dyDescent="0.25">
      <c r="A892" s="15">
        <v>14</v>
      </c>
      <c r="B892" s="46">
        <v>0.36874999999999997</v>
      </c>
      <c r="C892" s="38">
        <v>616</v>
      </c>
      <c r="D892" s="38"/>
      <c r="E892" s="38" t="s">
        <v>212</v>
      </c>
      <c r="F892" s="38" t="s">
        <v>315</v>
      </c>
      <c r="G892" s="5">
        <v>2</v>
      </c>
      <c r="H892" s="5" t="s">
        <v>395</v>
      </c>
      <c r="I892" s="156" t="s">
        <v>357</v>
      </c>
    </row>
    <row r="893" spans="1:9" x14ac:dyDescent="0.25">
      <c r="A893" s="15">
        <v>15</v>
      </c>
      <c r="B893" s="46">
        <v>0.37013888888888885</v>
      </c>
      <c r="C893" s="38">
        <v>469</v>
      </c>
      <c r="D893" s="38"/>
      <c r="E893" s="38" t="s">
        <v>416</v>
      </c>
      <c r="F893" s="38" t="s">
        <v>282</v>
      </c>
      <c r="G893" s="5">
        <v>1</v>
      </c>
      <c r="H893" s="5" t="s">
        <v>395</v>
      </c>
      <c r="I893" s="156" t="s">
        <v>357</v>
      </c>
    </row>
    <row r="894" spans="1:9" x14ac:dyDescent="0.25">
      <c r="A894" s="15">
        <v>16</v>
      </c>
      <c r="B894" s="46">
        <v>0.375</v>
      </c>
      <c r="C894" s="38">
        <v>471</v>
      </c>
      <c r="D894" s="38"/>
      <c r="E894" s="38" t="s">
        <v>416</v>
      </c>
      <c r="F894" s="38" t="s">
        <v>630</v>
      </c>
      <c r="G894" s="5">
        <v>4</v>
      </c>
      <c r="H894" s="5" t="s">
        <v>395</v>
      </c>
      <c r="I894" s="156" t="s">
        <v>357</v>
      </c>
    </row>
    <row r="895" spans="1:9" x14ac:dyDescent="0.25">
      <c r="A895" s="15">
        <v>17</v>
      </c>
      <c r="B895" s="46">
        <v>0.39374999999999999</v>
      </c>
      <c r="C895" s="38">
        <v>622</v>
      </c>
      <c r="D895" s="38"/>
      <c r="E895" s="38" t="s">
        <v>187</v>
      </c>
      <c r="F895" s="38" t="s">
        <v>310</v>
      </c>
      <c r="G895" s="5">
        <v>2</v>
      </c>
      <c r="H895" s="5" t="s">
        <v>395</v>
      </c>
      <c r="I895" s="156" t="s">
        <v>357</v>
      </c>
    </row>
    <row r="896" spans="1:9" x14ac:dyDescent="0.25">
      <c r="A896" s="15">
        <v>18</v>
      </c>
      <c r="B896" s="46">
        <v>0.4055555555555555</v>
      </c>
      <c r="C896" s="38">
        <v>469</v>
      </c>
      <c r="D896" s="38"/>
      <c r="E896" s="38" t="s">
        <v>416</v>
      </c>
      <c r="F896" s="38" t="s">
        <v>282</v>
      </c>
      <c r="G896" s="5">
        <v>1</v>
      </c>
      <c r="H896" s="5" t="s">
        <v>395</v>
      </c>
      <c r="I896" s="156" t="s">
        <v>357</v>
      </c>
    </row>
    <row r="897" spans="1:9" x14ac:dyDescent="0.25">
      <c r="A897" s="15">
        <v>19</v>
      </c>
      <c r="B897" s="46">
        <v>0.43124999999999997</v>
      </c>
      <c r="C897" s="38">
        <v>616</v>
      </c>
      <c r="D897" s="38"/>
      <c r="E897" s="38" t="s">
        <v>212</v>
      </c>
      <c r="F897" s="38" t="s">
        <v>460</v>
      </c>
      <c r="G897" s="5">
        <v>2</v>
      </c>
      <c r="H897" s="5" t="s">
        <v>395</v>
      </c>
      <c r="I897" s="156" t="s">
        <v>357</v>
      </c>
    </row>
    <row r="898" spans="1:9" x14ac:dyDescent="0.25">
      <c r="A898" s="15">
        <v>20</v>
      </c>
      <c r="B898" s="46">
        <v>0.44791666666666669</v>
      </c>
      <c r="C898" s="38">
        <v>622</v>
      </c>
      <c r="D898" s="38"/>
      <c r="E898" s="38" t="s">
        <v>187</v>
      </c>
      <c r="F898" s="38" t="s">
        <v>310</v>
      </c>
      <c r="G898" s="5">
        <v>2</v>
      </c>
      <c r="H898" s="5" t="s">
        <v>395</v>
      </c>
      <c r="I898" s="156" t="s">
        <v>357</v>
      </c>
    </row>
    <row r="899" spans="1:9" x14ac:dyDescent="0.25">
      <c r="A899" s="15">
        <v>21</v>
      </c>
      <c r="B899" s="46">
        <v>0.44861111111111113</v>
      </c>
      <c r="C899" s="38">
        <v>2834</v>
      </c>
      <c r="D899" s="38"/>
      <c r="E899" s="38" t="s">
        <v>412</v>
      </c>
      <c r="F899" s="38" t="s">
        <v>492</v>
      </c>
      <c r="G899" s="5">
        <v>4</v>
      </c>
      <c r="H899" s="5" t="s">
        <v>395</v>
      </c>
      <c r="I899" s="156" t="s">
        <v>357</v>
      </c>
    </row>
    <row r="900" spans="1:9" x14ac:dyDescent="0.25">
      <c r="A900" s="15">
        <v>22</v>
      </c>
      <c r="B900" s="46">
        <v>0.45</v>
      </c>
      <c r="C900" s="38">
        <v>468</v>
      </c>
      <c r="D900" s="38"/>
      <c r="E900" s="38" t="s">
        <v>22</v>
      </c>
      <c r="F900" s="38" t="s">
        <v>497</v>
      </c>
      <c r="G900" s="5">
        <v>2</v>
      </c>
      <c r="H900" s="5" t="s">
        <v>395</v>
      </c>
      <c r="I900" s="156" t="s">
        <v>357</v>
      </c>
    </row>
    <row r="901" spans="1:9" x14ac:dyDescent="0.25">
      <c r="A901" s="15">
        <v>23</v>
      </c>
      <c r="B901" s="46">
        <v>0.45694444444444443</v>
      </c>
      <c r="C901" s="38">
        <v>125</v>
      </c>
      <c r="D901" s="38"/>
      <c r="E901" s="38" t="s">
        <v>372</v>
      </c>
      <c r="F901" s="38" t="s">
        <v>610</v>
      </c>
      <c r="G901" s="5">
        <v>4</v>
      </c>
      <c r="H901" s="5" t="s">
        <v>395</v>
      </c>
      <c r="I901" s="156" t="s">
        <v>357</v>
      </c>
    </row>
    <row r="902" spans="1:9" x14ac:dyDescent="0.25">
      <c r="A902" s="15">
        <v>24</v>
      </c>
      <c r="B902" s="46">
        <v>0.48333333333333334</v>
      </c>
      <c r="C902" s="38">
        <v>471</v>
      </c>
      <c r="D902" s="38"/>
      <c r="E902" s="38" t="s">
        <v>416</v>
      </c>
      <c r="F902" s="38" t="s">
        <v>497</v>
      </c>
      <c r="G902" s="5">
        <v>2</v>
      </c>
      <c r="H902" s="5" t="s">
        <v>395</v>
      </c>
      <c r="I902" s="156" t="s">
        <v>357</v>
      </c>
    </row>
    <row r="903" spans="1:9" x14ac:dyDescent="0.25">
      <c r="A903" s="15">
        <v>25</v>
      </c>
      <c r="B903" s="46">
        <v>0.48472222222222222</v>
      </c>
      <c r="C903" s="38">
        <v>469</v>
      </c>
      <c r="D903" s="38"/>
      <c r="E903" s="38" t="s">
        <v>416</v>
      </c>
      <c r="F903" s="38" t="s">
        <v>282</v>
      </c>
      <c r="G903" s="5">
        <v>2</v>
      </c>
      <c r="H903" s="5" t="s">
        <v>395</v>
      </c>
      <c r="I903" s="156" t="s">
        <v>357</v>
      </c>
    </row>
    <row r="904" spans="1:9" x14ac:dyDescent="0.25">
      <c r="A904" s="15">
        <v>26</v>
      </c>
      <c r="B904" s="46">
        <v>0.48541666666666666</v>
      </c>
      <c r="C904" s="38">
        <v>469</v>
      </c>
      <c r="D904" s="38"/>
      <c r="E904" s="38" t="s">
        <v>416</v>
      </c>
      <c r="F904" s="38" t="s">
        <v>315</v>
      </c>
      <c r="G904" s="5">
        <v>2</v>
      </c>
      <c r="H904" s="5" t="s">
        <v>395</v>
      </c>
      <c r="I904" s="156" t="s">
        <v>357</v>
      </c>
    </row>
    <row r="905" spans="1:9" x14ac:dyDescent="0.25">
      <c r="A905" s="15">
        <v>27</v>
      </c>
      <c r="B905" s="46">
        <v>0.49583333333333335</v>
      </c>
      <c r="C905" s="38">
        <v>455</v>
      </c>
      <c r="D905" s="38"/>
      <c r="E905" s="38" t="s">
        <v>22</v>
      </c>
      <c r="F905" s="38" t="s">
        <v>282</v>
      </c>
      <c r="G905" s="5">
        <v>1</v>
      </c>
      <c r="H905" s="5" t="s">
        <v>395</v>
      </c>
      <c r="I905" s="156" t="s">
        <v>357</v>
      </c>
    </row>
    <row r="906" spans="1:9" x14ac:dyDescent="0.25">
      <c r="A906" s="15">
        <v>28</v>
      </c>
      <c r="B906" s="46">
        <v>0.5541666666666667</v>
      </c>
      <c r="C906" s="38">
        <v>455</v>
      </c>
      <c r="D906" s="38"/>
      <c r="E906" s="38" t="s">
        <v>22</v>
      </c>
      <c r="F906" s="38" t="s">
        <v>282</v>
      </c>
      <c r="G906" s="5">
        <v>1</v>
      </c>
      <c r="H906" s="5" t="s">
        <v>395</v>
      </c>
      <c r="I906" s="156" t="s">
        <v>357</v>
      </c>
    </row>
    <row r="907" spans="1:9" x14ac:dyDescent="0.25">
      <c r="A907" s="15">
        <v>29</v>
      </c>
      <c r="B907" s="46">
        <v>0.55555555555555558</v>
      </c>
      <c r="C907" s="38">
        <v>471</v>
      </c>
      <c r="D907" s="38"/>
      <c r="E907" s="38" t="s">
        <v>416</v>
      </c>
      <c r="F907" s="38" t="s">
        <v>616</v>
      </c>
      <c r="G907" s="5" t="s">
        <v>631</v>
      </c>
      <c r="H907" s="5" t="s">
        <v>395</v>
      </c>
      <c r="I907" s="156" t="s">
        <v>357</v>
      </c>
    </row>
    <row r="908" spans="1:9" x14ac:dyDescent="0.25">
      <c r="A908" s="15">
        <v>30</v>
      </c>
      <c r="B908" s="46">
        <v>0.6166666666666667</v>
      </c>
      <c r="C908" s="38">
        <v>455</v>
      </c>
      <c r="D908" s="38"/>
      <c r="E908" s="38" t="s">
        <v>22</v>
      </c>
      <c r="F908" s="38" t="s">
        <v>282</v>
      </c>
      <c r="G908" s="5">
        <v>1</v>
      </c>
      <c r="H908" s="5" t="s">
        <v>395</v>
      </c>
      <c r="I908" s="156" t="s">
        <v>243</v>
      </c>
    </row>
    <row r="909" spans="1:9" ht="19.5" thickBot="1" x14ac:dyDescent="0.3">
      <c r="A909" s="173" t="s">
        <v>633</v>
      </c>
      <c r="B909" s="174"/>
      <c r="C909" s="174"/>
      <c r="D909" s="174"/>
      <c r="E909" s="174"/>
      <c r="F909" s="174"/>
      <c r="G909" s="174"/>
      <c r="H909" s="174"/>
      <c r="I909" s="175"/>
    </row>
    <row r="910" spans="1:9" ht="19.5" thickBot="1" x14ac:dyDescent="0.3"/>
    <row r="911" spans="1:9" x14ac:dyDescent="0.25">
      <c r="A911" s="14">
        <v>1</v>
      </c>
      <c r="B911" s="45">
        <v>0.68194444444444446</v>
      </c>
      <c r="C911" s="37">
        <v>455</v>
      </c>
      <c r="D911" s="37"/>
      <c r="E911" s="37" t="s">
        <v>22</v>
      </c>
      <c r="F911" s="37" t="s">
        <v>282</v>
      </c>
      <c r="G911" s="151">
        <v>2</v>
      </c>
      <c r="H911" s="151" t="s">
        <v>395</v>
      </c>
      <c r="I911" s="155" t="s">
        <v>243</v>
      </c>
    </row>
    <row r="912" spans="1:9" x14ac:dyDescent="0.25">
      <c r="A912" s="15">
        <v>2</v>
      </c>
      <c r="B912" s="46">
        <v>0.68333333333333324</v>
      </c>
      <c r="C912" s="38">
        <v>456</v>
      </c>
      <c r="D912" s="38"/>
      <c r="E912" s="38" t="s">
        <v>22</v>
      </c>
      <c r="F912" s="38" t="s">
        <v>634</v>
      </c>
      <c r="G912" s="5" t="s">
        <v>635</v>
      </c>
      <c r="H912" s="5" t="s">
        <v>395</v>
      </c>
      <c r="I912" s="156" t="s">
        <v>243</v>
      </c>
    </row>
    <row r="913" spans="1:9" x14ac:dyDescent="0.25">
      <c r="A913" s="15">
        <v>3</v>
      </c>
      <c r="B913" s="46">
        <v>0.68472222222222223</v>
      </c>
      <c r="C913" s="38">
        <v>453</v>
      </c>
      <c r="D913" s="38"/>
      <c r="E913" s="38" t="s">
        <v>274</v>
      </c>
      <c r="F913" s="38" t="s">
        <v>497</v>
      </c>
      <c r="G913" s="5">
        <v>2</v>
      </c>
      <c r="H913" s="5" t="s">
        <v>395</v>
      </c>
      <c r="I913" s="156" t="s">
        <v>243</v>
      </c>
    </row>
    <row r="914" spans="1:9" x14ac:dyDescent="0.25">
      <c r="A914" s="15">
        <v>4</v>
      </c>
      <c r="B914" s="46">
        <v>0.68611111111111101</v>
      </c>
      <c r="C914" s="38">
        <v>471</v>
      </c>
      <c r="D914" s="38"/>
      <c r="E914" s="38" t="s">
        <v>416</v>
      </c>
      <c r="F914" s="38" t="s">
        <v>636</v>
      </c>
      <c r="G914" s="5" t="s">
        <v>626</v>
      </c>
      <c r="H914" s="5" t="s">
        <v>395</v>
      </c>
      <c r="I914" s="156" t="s">
        <v>243</v>
      </c>
    </row>
    <row r="915" spans="1:9" x14ac:dyDescent="0.25">
      <c r="A915" s="15">
        <v>5</v>
      </c>
      <c r="B915" s="46">
        <v>0.72083333333333333</v>
      </c>
      <c r="C915" s="38">
        <v>453</v>
      </c>
      <c r="D915" s="38"/>
      <c r="E915" s="38" t="s">
        <v>274</v>
      </c>
      <c r="F915" s="38" t="s">
        <v>497</v>
      </c>
      <c r="G915" s="5">
        <v>2</v>
      </c>
      <c r="H915" s="5" t="s">
        <v>395</v>
      </c>
      <c r="I915" s="156" t="s">
        <v>243</v>
      </c>
    </row>
    <row r="916" spans="1:9" x14ac:dyDescent="0.25">
      <c r="A916" s="15">
        <v>6</v>
      </c>
      <c r="B916" s="46">
        <v>0.9291666666666667</v>
      </c>
      <c r="C916" s="38">
        <v>435</v>
      </c>
      <c r="D916" s="38"/>
      <c r="E916" s="38" t="s">
        <v>416</v>
      </c>
      <c r="F916" s="38" t="s">
        <v>637</v>
      </c>
      <c r="G916" s="5">
        <v>14</v>
      </c>
      <c r="H916" s="5" t="s">
        <v>395</v>
      </c>
      <c r="I916" s="156" t="s">
        <v>243</v>
      </c>
    </row>
    <row r="917" spans="1:9" x14ac:dyDescent="0.25">
      <c r="A917" s="15">
        <v>7</v>
      </c>
      <c r="B917" s="46">
        <v>0.93402777777777779</v>
      </c>
      <c r="C917" s="38">
        <v>466</v>
      </c>
      <c r="D917" s="38"/>
      <c r="E917" s="38" t="s">
        <v>445</v>
      </c>
      <c r="F917" s="38" t="s">
        <v>310</v>
      </c>
      <c r="G917" s="5">
        <v>5</v>
      </c>
      <c r="H917" s="5" t="s">
        <v>395</v>
      </c>
      <c r="I917" s="156" t="s">
        <v>243</v>
      </c>
    </row>
    <row r="918" spans="1:9" x14ac:dyDescent="0.25">
      <c r="A918" s="15">
        <v>8</v>
      </c>
      <c r="B918" s="46">
        <v>0.95208333333333339</v>
      </c>
      <c r="C918" s="38">
        <v>458</v>
      </c>
      <c r="D918" s="38"/>
      <c r="E918" s="38" t="s">
        <v>445</v>
      </c>
      <c r="F918" s="38" t="s">
        <v>310</v>
      </c>
      <c r="G918" s="5">
        <v>5</v>
      </c>
      <c r="H918" s="5" t="s">
        <v>395</v>
      </c>
      <c r="I918" s="156" t="s">
        <v>243</v>
      </c>
    </row>
    <row r="919" spans="1:9" x14ac:dyDescent="0.25">
      <c r="A919" s="15">
        <v>9</v>
      </c>
      <c r="B919" s="46">
        <v>0.97361111111111109</v>
      </c>
      <c r="C919" s="38">
        <v>469</v>
      </c>
      <c r="D919" s="38"/>
      <c r="E919" s="38" t="s">
        <v>309</v>
      </c>
      <c r="F919" s="38" t="s">
        <v>282</v>
      </c>
      <c r="G919" s="5">
        <v>5</v>
      </c>
      <c r="H919" s="5" t="s">
        <v>395</v>
      </c>
      <c r="I919" s="156" t="s">
        <v>243</v>
      </c>
    </row>
    <row r="920" spans="1:9" x14ac:dyDescent="0.25">
      <c r="A920" s="15">
        <v>10</v>
      </c>
      <c r="B920" s="46">
        <v>0.98611111111111116</v>
      </c>
      <c r="C920" s="38">
        <v>468</v>
      </c>
      <c r="D920" s="38"/>
      <c r="E920" s="38" t="s">
        <v>307</v>
      </c>
      <c r="F920" s="38" t="s">
        <v>282</v>
      </c>
      <c r="G920" s="5">
        <v>5</v>
      </c>
      <c r="H920" s="5" t="s">
        <v>395</v>
      </c>
      <c r="I920" s="156" t="s">
        <v>243</v>
      </c>
    </row>
    <row r="921" spans="1:9" x14ac:dyDescent="0.25">
      <c r="A921" s="179">
        <v>46134</v>
      </c>
      <c r="B921" s="180"/>
      <c r="C921" s="180"/>
      <c r="D921" s="180"/>
      <c r="E921" s="180"/>
      <c r="F921" s="180"/>
      <c r="G921" s="180"/>
      <c r="H921" s="180"/>
      <c r="I921" s="181"/>
    </row>
    <row r="922" spans="1:9" x14ac:dyDescent="0.25">
      <c r="A922" s="15">
        <v>11</v>
      </c>
      <c r="B922" s="46">
        <v>2.0833333333333332E-2</v>
      </c>
      <c r="C922" s="38">
        <v>452</v>
      </c>
      <c r="D922" s="38"/>
      <c r="E922" s="38" t="s">
        <v>638</v>
      </c>
      <c r="F922" s="38" t="s">
        <v>315</v>
      </c>
      <c r="G922" s="5">
        <v>5</v>
      </c>
      <c r="H922" s="5" t="s">
        <v>395</v>
      </c>
      <c r="I922" s="156" t="s">
        <v>243</v>
      </c>
    </row>
    <row r="923" spans="1:9" x14ac:dyDescent="0.25">
      <c r="A923" s="15">
        <v>12</v>
      </c>
      <c r="B923" s="46">
        <v>5.4166666666666669E-2</v>
      </c>
      <c r="C923" s="38">
        <v>452</v>
      </c>
      <c r="D923" s="38"/>
      <c r="E923" s="38" t="s">
        <v>638</v>
      </c>
      <c r="F923" s="38" t="s">
        <v>315</v>
      </c>
      <c r="G923" s="5">
        <v>5</v>
      </c>
      <c r="H923" s="5" t="s">
        <v>395</v>
      </c>
      <c r="I923" s="156" t="s">
        <v>243</v>
      </c>
    </row>
    <row r="924" spans="1:9" x14ac:dyDescent="0.25">
      <c r="A924" s="15">
        <v>13</v>
      </c>
      <c r="B924" s="46">
        <v>0.11944444444444445</v>
      </c>
      <c r="C924" s="38">
        <v>98</v>
      </c>
      <c r="D924" s="38"/>
      <c r="E924" s="38" t="s">
        <v>341</v>
      </c>
      <c r="F924" s="38" t="s">
        <v>497</v>
      </c>
      <c r="G924" s="5">
        <v>5</v>
      </c>
      <c r="H924" s="5" t="s">
        <v>395</v>
      </c>
      <c r="I924" s="156" t="s">
        <v>243</v>
      </c>
    </row>
    <row r="925" spans="1:9" x14ac:dyDescent="0.25">
      <c r="A925" s="15">
        <v>14</v>
      </c>
      <c r="B925" s="46">
        <v>0.13055555555555556</v>
      </c>
      <c r="C925" s="38">
        <v>453</v>
      </c>
      <c r="D925" s="38"/>
      <c r="E925" s="38" t="s">
        <v>553</v>
      </c>
      <c r="F925" s="38" t="s">
        <v>497</v>
      </c>
      <c r="G925" s="5">
        <v>5</v>
      </c>
      <c r="H925" s="5" t="s">
        <v>395</v>
      </c>
      <c r="I925" s="156" t="s">
        <v>243</v>
      </c>
    </row>
    <row r="926" spans="1:9" x14ac:dyDescent="0.25">
      <c r="A926" s="15">
        <v>15</v>
      </c>
      <c r="B926" s="46">
        <v>0.27638888888888885</v>
      </c>
      <c r="C926" s="38">
        <v>76</v>
      </c>
      <c r="D926" s="38" t="s">
        <v>97</v>
      </c>
      <c r="E926" s="38" t="s">
        <v>498</v>
      </c>
      <c r="F926" s="38" t="s">
        <v>315</v>
      </c>
      <c r="G926" s="5">
        <v>8</v>
      </c>
      <c r="H926" s="5" t="s">
        <v>395</v>
      </c>
      <c r="I926" s="156" t="s">
        <v>243</v>
      </c>
    </row>
    <row r="927" spans="1:9" x14ac:dyDescent="0.25">
      <c r="A927" s="15">
        <v>16</v>
      </c>
      <c r="B927" s="46">
        <v>0.28055555555555556</v>
      </c>
      <c r="C927" s="38">
        <v>76</v>
      </c>
      <c r="D927" s="38" t="s">
        <v>97</v>
      </c>
      <c r="E927" s="38" t="s">
        <v>498</v>
      </c>
      <c r="F927" s="38" t="s">
        <v>315</v>
      </c>
      <c r="G927" s="5">
        <v>8</v>
      </c>
      <c r="H927" s="5" t="s">
        <v>395</v>
      </c>
      <c r="I927" s="156" t="s">
        <v>243</v>
      </c>
    </row>
    <row r="928" spans="1:9" x14ac:dyDescent="0.25">
      <c r="A928" s="15">
        <v>17</v>
      </c>
      <c r="B928" s="46">
        <v>0.28611111111111115</v>
      </c>
      <c r="C928" s="38">
        <v>115</v>
      </c>
      <c r="D928" s="38"/>
      <c r="E928" s="38" t="s">
        <v>541</v>
      </c>
      <c r="F928" s="38" t="s">
        <v>634</v>
      </c>
      <c r="G928" s="5">
        <v>2</v>
      </c>
      <c r="H928" s="5" t="s">
        <v>395</v>
      </c>
      <c r="I928" s="156" t="s">
        <v>243</v>
      </c>
    </row>
    <row r="929" spans="1:9" x14ac:dyDescent="0.25">
      <c r="A929" s="15">
        <v>18</v>
      </c>
      <c r="B929" s="46">
        <v>0.36944444444444446</v>
      </c>
      <c r="C929" s="38">
        <v>471</v>
      </c>
      <c r="D929" s="38" t="s">
        <v>97</v>
      </c>
      <c r="E929" s="38" t="s">
        <v>416</v>
      </c>
      <c r="F929" s="38" t="s">
        <v>639</v>
      </c>
      <c r="G929" s="5" t="s">
        <v>631</v>
      </c>
      <c r="H929" s="5" t="s">
        <v>395</v>
      </c>
      <c r="I929" s="156" t="s">
        <v>243</v>
      </c>
    </row>
    <row r="930" spans="1:9" x14ac:dyDescent="0.25">
      <c r="A930" s="15">
        <v>19</v>
      </c>
      <c r="B930" s="46">
        <v>0.38958333333333334</v>
      </c>
      <c r="C930" s="38">
        <v>76</v>
      </c>
      <c r="D930" s="38"/>
      <c r="E930" s="38" t="s">
        <v>341</v>
      </c>
      <c r="F930" s="38" t="s">
        <v>497</v>
      </c>
      <c r="G930" s="5">
        <v>5</v>
      </c>
      <c r="H930" s="5" t="s">
        <v>395</v>
      </c>
      <c r="I930" s="156" t="s">
        <v>243</v>
      </c>
    </row>
    <row r="931" spans="1:9" x14ac:dyDescent="0.25">
      <c r="A931" s="15">
        <v>20</v>
      </c>
      <c r="B931" s="46">
        <v>0.50486111111111109</v>
      </c>
      <c r="C931" s="38">
        <v>475</v>
      </c>
      <c r="D931" s="38" t="s">
        <v>97</v>
      </c>
      <c r="E931" s="38" t="s">
        <v>416</v>
      </c>
      <c r="F931" s="38" t="s">
        <v>310</v>
      </c>
      <c r="G931" s="5">
        <v>12</v>
      </c>
      <c r="H931" s="5" t="s">
        <v>395</v>
      </c>
      <c r="I931" s="156" t="s">
        <v>243</v>
      </c>
    </row>
    <row r="932" spans="1:9" x14ac:dyDescent="0.25">
      <c r="A932" s="15">
        <v>21</v>
      </c>
      <c r="B932" s="46">
        <v>0.50694444444444442</v>
      </c>
      <c r="C932" s="38">
        <v>475</v>
      </c>
      <c r="D932" s="38" t="s">
        <v>97</v>
      </c>
      <c r="E932" s="38" t="s">
        <v>416</v>
      </c>
      <c r="F932" s="38" t="s">
        <v>315</v>
      </c>
      <c r="G932" s="5">
        <v>7</v>
      </c>
      <c r="H932" s="5" t="s">
        <v>395</v>
      </c>
      <c r="I932" s="156" t="s">
        <v>243</v>
      </c>
    </row>
    <row r="933" spans="1:9" x14ac:dyDescent="0.25">
      <c r="A933" s="15">
        <v>22</v>
      </c>
      <c r="B933" s="46">
        <v>0.52500000000000002</v>
      </c>
      <c r="C933" s="38" t="s">
        <v>376</v>
      </c>
      <c r="D933" s="38"/>
      <c r="E933" s="38"/>
      <c r="F933" s="38" t="s">
        <v>618</v>
      </c>
      <c r="G933" s="5" t="s">
        <v>371</v>
      </c>
      <c r="H933" s="5" t="s">
        <v>395</v>
      </c>
      <c r="I933" s="157" t="s">
        <v>258</v>
      </c>
    </row>
    <row r="934" spans="1:9" x14ac:dyDescent="0.25">
      <c r="A934" s="15">
        <v>23</v>
      </c>
      <c r="B934" s="46">
        <v>0.55208333333333337</v>
      </c>
      <c r="C934" s="38">
        <v>456</v>
      </c>
      <c r="D934" s="38"/>
      <c r="E934" s="38" t="s">
        <v>22</v>
      </c>
      <c r="F934" s="38" t="s">
        <v>310</v>
      </c>
      <c r="G934" s="5">
        <v>1</v>
      </c>
      <c r="H934" s="5" t="s">
        <v>395</v>
      </c>
      <c r="I934" s="156" t="s">
        <v>243</v>
      </c>
    </row>
    <row r="935" spans="1:9" x14ac:dyDescent="0.25">
      <c r="A935" s="15">
        <v>24</v>
      </c>
      <c r="B935" s="46">
        <v>0.55625000000000002</v>
      </c>
      <c r="C935" s="38">
        <v>125</v>
      </c>
      <c r="D935" s="38"/>
      <c r="E935" s="38"/>
      <c r="F935" s="38" t="s">
        <v>441</v>
      </c>
      <c r="G935" s="5" t="s">
        <v>371</v>
      </c>
      <c r="H935" s="5" t="s">
        <v>395</v>
      </c>
      <c r="I935" s="156" t="s">
        <v>258</v>
      </c>
    </row>
    <row r="936" spans="1:9" x14ac:dyDescent="0.25">
      <c r="A936" s="15">
        <v>25</v>
      </c>
      <c r="B936" s="46">
        <v>0.64027777777777783</v>
      </c>
      <c r="C936" s="38">
        <v>458</v>
      </c>
      <c r="D936" s="38"/>
      <c r="E936" s="38" t="s">
        <v>228</v>
      </c>
      <c r="F936" s="38" t="s">
        <v>310</v>
      </c>
      <c r="G936" s="5">
        <v>1</v>
      </c>
      <c r="H936" s="5" t="s">
        <v>395</v>
      </c>
      <c r="I936" s="156" t="s">
        <v>243</v>
      </c>
    </row>
    <row r="937" spans="1:9" x14ac:dyDescent="0.25">
      <c r="A937" s="15">
        <v>26</v>
      </c>
      <c r="B937" s="46">
        <v>0.64097222222222217</v>
      </c>
      <c r="C937" s="38">
        <v>456</v>
      </c>
      <c r="D937" s="38"/>
      <c r="E937" s="38" t="s">
        <v>22</v>
      </c>
      <c r="F937" s="38" t="s">
        <v>640</v>
      </c>
      <c r="G937" s="5">
        <v>1</v>
      </c>
      <c r="H937" s="5" t="s">
        <v>395</v>
      </c>
      <c r="I937" s="156" t="s">
        <v>243</v>
      </c>
    </row>
    <row r="938" spans="1:9" x14ac:dyDescent="0.25">
      <c r="A938" s="15">
        <v>27</v>
      </c>
      <c r="B938" s="46">
        <v>0.64166666666666672</v>
      </c>
      <c r="C938" s="38">
        <v>453</v>
      </c>
      <c r="D938" s="38"/>
      <c r="E938" s="38" t="s">
        <v>274</v>
      </c>
      <c r="F938" s="38" t="s">
        <v>497</v>
      </c>
      <c r="G938" s="5">
        <v>1</v>
      </c>
      <c r="H938" s="5" t="s">
        <v>395</v>
      </c>
      <c r="I938" s="156" t="s">
        <v>243</v>
      </c>
    </row>
    <row r="939" spans="1:9" ht="19.5" thickBot="1" x14ac:dyDescent="0.3">
      <c r="A939" s="173" t="s">
        <v>641</v>
      </c>
      <c r="B939" s="174"/>
      <c r="C939" s="174"/>
      <c r="D939" s="174"/>
      <c r="E939" s="174"/>
      <c r="F939" s="174"/>
      <c r="G939" s="174"/>
      <c r="H939" s="174"/>
      <c r="I939" s="175"/>
    </row>
    <row r="940" spans="1:9" ht="19.5" thickBot="1" x14ac:dyDescent="0.3"/>
    <row r="941" spans="1:9" x14ac:dyDescent="0.25">
      <c r="A941" s="14">
        <v>1</v>
      </c>
      <c r="B941" s="45">
        <v>0.73125000000000007</v>
      </c>
      <c r="C941" s="37">
        <v>154</v>
      </c>
      <c r="D941" s="37" t="s">
        <v>97</v>
      </c>
      <c r="E941" s="37" t="s">
        <v>354</v>
      </c>
      <c r="F941" s="37" t="s">
        <v>642</v>
      </c>
      <c r="G941" s="151" t="s">
        <v>348</v>
      </c>
      <c r="H941" s="151" t="s">
        <v>395</v>
      </c>
      <c r="I941" s="155" t="s">
        <v>357</v>
      </c>
    </row>
    <row r="942" spans="1:9" x14ac:dyDescent="0.25">
      <c r="A942" s="15">
        <v>2</v>
      </c>
      <c r="B942" s="46">
        <v>0.74791666666666667</v>
      </c>
      <c r="C942" s="38">
        <v>615</v>
      </c>
      <c r="D942" s="38" t="s">
        <v>97</v>
      </c>
      <c r="E942" s="38" t="s">
        <v>598</v>
      </c>
      <c r="F942" s="38" t="s">
        <v>315</v>
      </c>
      <c r="G942" s="5">
        <v>10</v>
      </c>
      <c r="H942" s="5" t="s">
        <v>395</v>
      </c>
      <c r="I942" s="156" t="s">
        <v>357</v>
      </c>
    </row>
    <row r="943" spans="1:9" x14ac:dyDescent="0.25">
      <c r="A943" s="15">
        <v>3</v>
      </c>
      <c r="B943" s="46">
        <v>0.75138888888888899</v>
      </c>
      <c r="C943" s="38">
        <v>622</v>
      </c>
      <c r="D943" s="38" t="s">
        <v>97</v>
      </c>
      <c r="E943" s="38" t="s">
        <v>187</v>
      </c>
      <c r="F943" s="38" t="s">
        <v>282</v>
      </c>
      <c r="G943" s="5">
        <v>10</v>
      </c>
      <c r="H943" s="5" t="s">
        <v>395</v>
      </c>
      <c r="I943" s="156" t="s">
        <v>357</v>
      </c>
    </row>
    <row r="944" spans="1:9" x14ac:dyDescent="0.25">
      <c r="A944" s="15">
        <v>4</v>
      </c>
      <c r="B944" s="46">
        <v>0.95833333333333337</v>
      </c>
      <c r="C944" s="38">
        <v>617</v>
      </c>
      <c r="D944" s="38" t="s">
        <v>97</v>
      </c>
      <c r="E944" s="38" t="s">
        <v>237</v>
      </c>
      <c r="F944" s="38" t="s">
        <v>315</v>
      </c>
      <c r="G944" s="5">
        <v>2</v>
      </c>
      <c r="H944" s="5" t="s">
        <v>395</v>
      </c>
      <c r="I944" s="156" t="s">
        <v>357</v>
      </c>
    </row>
    <row r="945" spans="1:9" x14ac:dyDescent="0.25">
      <c r="A945" s="15">
        <v>5</v>
      </c>
      <c r="B945" s="46">
        <v>0.9590277777777777</v>
      </c>
      <c r="C945" s="38">
        <v>457</v>
      </c>
      <c r="D945" s="38" t="s">
        <v>97</v>
      </c>
      <c r="E945" s="38" t="s">
        <v>307</v>
      </c>
      <c r="F945" s="38" t="s">
        <v>640</v>
      </c>
      <c r="G945" s="5">
        <v>2</v>
      </c>
      <c r="H945" s="5" t="s">
        <v>395</v>
      </c>
      <c r="I945" s="156" t="s">
        <v>357</v>
      </c>
    </row>
    <row r="946" spans="1:9" x14ac:dyDescent="0.25">
      <c r="A946" s="179">
        <v>46135</v>
      </c>
      <c r="B946" s="180"/>
      <c r="C946" s="180"/>
      <c r="D946" s="180"/>
      <c r="E946" s="180"/>
      <c r="F946" s="180"/>
      <c r="G946" s="180"/>
      <c r="H946" s="180"/>
      <c r="I946" s="181"/>
    </row>
    <row r="947" spans="1:9" x14ac:dyDescent="0.25">
      <c r="A947" s="15">
        <v>6</v>
      </c>
      <c r="B947" s="46">
        <v>2.2916666666666669E-2</v>
      </c>
      <c r="C947" s="38">
        <v>617</v>
      </c>
      <c r="D947" s="38" t="s">
        <v>97</v>
      </c>
      <c r="E947" s="38" t="s">
        <v>237</v>
      </c>
      <c r="F947" s="38" t="s">
        <v>315</v>
      </c>
      <c r="G947" s="5">
        <v>2</v>
      </c>
      <c r="H947" s="5" t="s">
        <v>395</v>
      </c>
      <c r="I947" s="156" t="s">
        <v>357</v>
      </c>
    </row>
    <row r="948" spans="1:9" x14ac:dyDescent="0.25">
      <c r="A948" s="22">
        <v>7</v>
      </c>
      <c r="B948" s="56">
        <v>5.9722222222222225E-2</v>
      </c>
      <c r="C948" s="43">
        <v>148</v>
      </c>
      <c r="D948" s="43" t="s">
        <v>97</v>
      </c>
      <c r="E948" s="43" t="s">
        <v>410</v>
      </c>
      <c r="F948" s="43" t="s">
        <v>469</v>
      </c>
      <c r="G948" s="23" t="s">
        <v>113</v>
      </c>
      <c r="H948" s="23" t="s">
        <v>305</v>
      </c>
      <c r="I948" s="161" t="s">
        <v>357</v>
      </c>
    </row>
    <row r="949" spans="1:9" x14ac:dyDescent="0.25">
      <c r="A949" s="15">
        <v>8</v>
      </c>
      <c r="B949" s="46">
        <v>0.19444444444444445</v>
      </c>
      <c r="C949" s="38">
        <v>456</v>
      </c>
      <c r="D949" s="38" t="s">
        <v>97</v>
      </c>
      <c r="E949" s="38" t="s">
        <v>307</v>
      </c>
      <c r="F949" s="38" t="s">
        <v>315</v>
      </c>
      <c r="G949" s="5">
        <v>3</v>
      </c>
      <c r="H949" s="5" t="s">
        <v>395</v>
      </c>
      <c r="I949" s="156" t="s">
        <v>357</v>
      </c>
    </row>
    <row r="950" spans="1:9" x14ac:dyDescent="0.25">
      <c r="A950" s="15">
        <v>9</v>
      </c>
      <c r="B950" s="46">
        <v>0.19791666666666666</v>
      </c>
      <c r="C950" s="38">
        <v>457</v>
      </c>
      <c r="D950" s="38" t="s">
        <v>97</v>
      </c>
      <c r="E950" s="38" t="s">
        <v>307</v>
      </c>
      <c r="F950" s="38" t="s">
        <v>640</v>
      </c>
      <c r="G950" s="5">
        <v>3</v>
      </c>
      <c r="H950" s="5" t="s">
        <v>395</v>
      </c>
      <c r="I950" s="156" t="s">
        <v>357</v>
      </c>
    </row>
    <row r="951" spans="1:9" x14ac:dyDescent="0.25">
      <c r="A951" s="15">
        <v>10</v>
      </c>
      <c r="B951" s="46">
        <v>0.24166666666666667</v>
      </c>
      <c r="C951" s="38">
        <v>456</v>
      </c>
      <c r="D951" s="38" t="s">
        <v>97</v>
      </c>
      <c r="E951" s="38" t="s">
        <v>307</v>
      </c>
      <c r="F951" s="38" t="s">
        <v>282</v>
      </c>
      <c r="G951" s="5">
        <v>3</v>
      </c>
      <c r="H951" s="5" t="s">
        <v>395</v>
      </c>
      <c r="I951" s="156" t="s">
        <v>357</v>
      </c>
    </row>
    <row r="952" spans="1:9" x14ac:dyDescent="0.25">
      <c r="A952" s="15">
        <v>11</v>
      </c>
      <c r="B952" s="46">
        <v>0.25694444444444448</v>
      </c>
      <c r="C952" s="38">
        <v>469</v>
      </c>
      <c r="D952" s="38" t="s">
        <v>97</v>
      </c>
      <c r="E952" s="38" t="s">
        <v>309</v>
      </c>
      <c r="F952" s="38" t="s">
        <v>497</v>
      </c>
      <c r="G952" s="5">
        <v>2</v>
      </c>
      <c r="H952" s="5" t="s">
        <v>395</v>
      </c>
      <c r="I952" s="156" t="s">
        <v>357</v>
      </c>
    </row>
    <row r="953" spans="1:9" x14ac:dyDescent="0.25">
      <c r="A953" s="15">
        <v>12</v>
      </c>
      <c r="B953" s="46">
        <v>0.3298611111111111</v>
      </c>
      <c r="C953" s="38">
        <v>457</v>
      </c>
      <c r="D953" s="38"/>
      <c r="E953" s="38" t="s">
        <v>22</v>
      </c>
      <c r="F953" s="38" t="s">
        <v>310</v>
      </c>
      <c r="G953" s="5">
        <v>1</v>
      </c>
      <c r="H953" s="5" t="s">
        <v>395</v>
      </c>
      <c r="I953" s="156" t="s">
        <v>357</v>
      </c>
    </row>
    <row r="954" spans="1:9" x14ac:dyDescent="0.25">
      <c r="A954" s="15">
        <v>13</v>
      </c>
      <c r="B954" s="46">
        <v>0.34791666666666665</v>
      </c>
      <c r="C954" s="38">
        <v>615</v>
      </c>
      <c r="D954" s="38"/>
      <c r="E954" s="38" t="s">
        <v>598</v>
      </c>
      <c r="F954" s="38" t="s">
        <v>315</v>
      </c>
      <c r="G954" s="5">
        <v>2</v>
      </c>
      <c r="H954" s="5" t="s">
        <v>395</v>
      </c>
      <c r="I954" s="156" t="s">
        <v>357</v>
      </c>
    </row>
    <row r="955" spans="1:9" x14ac:dyDescent="0.25">
      <c r="A955" s="15">
        <v>14</v>
      </c>
      <c r="B955" s="46">
        <v>0.35486111111111113</v>
      </c>
      <c r="C955" s="38">
        <v>455</v>
      </c>
      <c r="D955" s="38"/>
      <c r="E955" s="38" t="s">
        <v>22</v>
      </c>
      <c r="F955" s="38" t="s">
        <v>310</v>
      </c>
      <c r="G955" s="5">
        <v>1</v>
      </c>
      <c r="H955" s="5" t="s">
        <v>395</v>
      </c>
      <c r="I955" s="156" t="s">
        <v>357</v>
      </c>
    </row>
    <row r="956" spans="1:9" x14ac:dyDescent="0.25">
      <c r="A956" s="15">
        <v>15</v>
      </c>
      <c r="B956" s="46">
        <v>0.36041666666666666</v>
      </c>
      <c r="C956" s="38">
        <v>470</v>
      </c>
      <c r="D956" s="38"/>
      <c r="E956" s="38" t="s">
        <v>22</v>
      </c>
      <c r="F956" s="38" t="s">
        <v>310</v>
      </c>
      <c r="G956" s="5">
        <v>1</v>
      </c>
      <c r="H956" s="5" t="s">
        <v>395</v>
      </c>
      <c r="I956" s="156" t="s">
        <v>357</v>
      </c>
    </row>
    <row r="957" spans="1:9" x14ac:dyDescent="0.25">
      <c r="A957" s="15">
        <v>16</v>
      </c>
      <c r="B957" s="46">
        <v>0.3659722222222222</v>
      </c>
      <c r="C957" s="38">
        <v>615</v>
      </c>
      <c r="D957" s="38"/>
      <c r="E957" s="38" t="s">
        <v>598</v>
      </c>
      <c r="F957" s="38" t="s">
        <v>315</v>
      </c>
      <c r="G957" s="5">
        <v>1</v>
      </c>
      <c r="H957" s="5" t="s">
        <v>395</v>
      </c>
      <c r="I957" s="156" t="s">
        <v>357</v>
      </c>
    </row>
    <row r="958" spans="1:9" x14ac:dyDescent="0.25">
      <c r="A958" s="15">
        <v>17</v>
      </c>
      <c r="B958" s="46">
        <v>0.38472222222222219</v>
      </c>
      <c r="C958" s="38">
        <v>458</v>
      </c>
      <c r="D958" s="38"/>
      <c r="E958" s="38" t="s">
        <v>228</v>
      </c>
      <c r="F958" s="38" t="s">
        <v>310</v>
      </c>
      <c r="G958" s="5">
        <v>1</v>
      </c>
      <c r="H958" s="5" t="s">
        <v>395</v>
      </c>
      <c r="I958" s="156" t="s">
        <v>357</v>
      </c>
    </row>
    <row r="959" spans="1:9" x14ac:dyDescent="0.25">
      <c r="A959" s="15">
        <v>18</v>
      </c>
      <c r="B959" s="46">
        <v>0.38680555555555557</v>
      </c>
      <c r="C959" s="38">
        <v>616</v>
      </c>
      <c r="D959" s="38"/>
      <c r="E959" s="38" t="s">
        <v>212</v>
      </c>
      <c r="F959" s="38" t="s">
        <v>315</v>
      </c>
      <c r="G959" s="5">
        <v>2</v>
      </c>
      <c r="H959" s="5" t="s">
        <v>395</v>
      </c>
      <c r="I959" s="156" t="s">
        <v>357</v>
      </c>
    </row>
    <row r="960" spans="1:9" x14ac:dyDescent="0.25">
      <c r="A960" s="22">
        <v>19</v>
      </c>
      <c r="B960" s="56">
        <v>0.40833333333333338</v>
      </c>
      <c r="C960" s="43"/>
      <c r="D960" s="43" t="s">
        <v>646</v>
      </c>
      <c r="E960" s="43" t="s">
        <v>405</v>
      </c>
      <c r="F960" s="43" t="s">
        <v>647</v>
      </c>
      <c r="G960" s="23" t="s">
        <v>113</v>
      </c>
      <c r="H960" s="23" t="s">
        <v>305</v>
      </c>
      <c r="I960" s="161" t="s">
        <v>357</v>
      </c>
    </row>
    <row r="961" spans="1:9" x14ac:dyDescent="0.25">
      <c r="A961" s="15">
        <v>20</v>
      </c>
      <c r="B961" s="46">
        <v>0.41805555555555557</v>
      </c>
      <c r="C961" s="38">
        <v>616</v>
      </c>
      <c r="D961" s="38"/>
      <c r="E961" s="38" t="s">
        <v>212</v>
      </c>
      <c r="F961" s="38" t="s">
        <v>315</v>
      </c>
      <c r="G961" s="5">
        <v>1</v>
      </c>
      <c r="H961" s="5" t="s">
        <v>395</v>
      </c>
      <c r="I961" s="156" t="s">
        <v>357</v>
      </c>
    </row>
    <row r="962" spans="1:9" x14ac:dyDescent="0.25">
      <c r="A962" s="15">
        <v>21</v>
      </c>
      <c r="B962" s="46">
        <v>0.43124999999999997</v>
      </c>
      <c r="C962" s="38">
        <v>457</v>
      </c>
      <c r="D962" s="38"/>
      <c r="E962" s="38" t="s">
        <v>22</v>
      </c>
      <c r="F962" s="38" t="s">
        <v>310</v>
      </c>
      <c r="G962" s="5">
        <v>1</v>
      </c>
      <c r="H962" s="5" t="s">
        <v>395</v>
      </c>
      <c r="I962" s="156" t="s">
        <v>357</v>
      </c>
    </row>
    <row r="963" spans="1:9" x14ac:dyDescent="0.25">
      <c r="A963" s="15">
        <v>22</v>
      </c>
      <c r="B963" s="46">
        <v>0.47361111111111115</v>
      </c>
      <c r="C963" s="38">
        <v>459</v>
      </c>
      <c r="D963" s="38"/>
      <c r="E963" s="38" t="s">
        <v>228</v>
      </c>
      <c r="F963" s="38" t="s">
        <v>310</v>
      </c>
      <c r="G963" s="5">
        <v>1</v>
      </c>
      <c r="H963" s="5" t="s">
        <v>395</v>
      </c>
      <c r="I963" s="156" t="s">
        <v>357</v>
      </c>
    </row>
    <row r="964" spans="1:9" x14ac:dyDescent="0.25">
      <c r="A964" s="15">
        <v>23</v>
      </c>
      <c r="B964" s="46">
        <v>0.48472222222222222</v>
      </c>
      <c r="C964" s="38">
        <v>616</v>
      </c>
      <c r="D964" s="38"/>
      <c r="E964" s="38" t="s">
        <v>212</v>
      </c>
      <c r="F964" s="38" t="s">
        <v>460</v>
      </c>
      <c r="G964" s="5">
        <v>3</v>
      </c>
      <c r="H964" s="5" t="s">
        <v>395</v>
      </c>
      <c r="I964" s="156" t="s">
        <v>357</v>
      </c>
    </row>
    <row r="965" spans="1:9" x14ac:dyDescent="0.25">
      <c r="A965" s="15">
        <v>24</v>
      </c>
      <c r="B965" s="46">
        <v>0.4993055555555555</v>
      </c>
      <c r="C965" s="38">
        <v>126</v>
      </c>
      <c r="D965" s="38"/>
      <c r="E965" s="38" t="s">
        <v>372</v>
      </c>
      <c r="F965" s="38" t="s">
        <v>492</v>
      </c>
      <c r="G965" s="5">
        <v>2</v>
      </c>
      <c r="H965" s="5" t="s">
        <v>395</v>
      </c>
      <c r="I965" s="156" t="s">
        <v>357</v>
      </c>
    </row>
    <row r="966" spans="1:9" x14ac:dyDescent="0.25">
      <c r="A966" s="15">
        <v>25</v>
      </c>
      <c r="B966" s="46">
        <v>0.51458333333333328</v>
      </c>
      <c r="C966" s="38">
        <v>615</v>
      </c>
      <c r="D966" s="38"/>
      <c r="E966" s="38" t="s">
        <v>598</v>
      </c>
      <c r="F966" s="38" t="s">
        <v>315</v>
      </c>
      <c r="G966" s="5">
        <v>1</v>
      </c>
      <c r="H966" s="5" t="s">
        <v>395</v>
      </c>
      <c r="I966" s="156" t="s">
        <v>357</v>
      </c>
    </row>
    <row r="967" spans="1:9" x14ac:dyDescent="0.25">
      <c r="A967" s="15">
        <v>26</v>
      </c>
      <c r="B967" s="46">
        <v>0.52083333333333337</v>
      </c>
      <c r="C967" s="38">
        <v>458</v>
      </c>
      <c r="D967" s="38"/>
      <c r="E967" s="38" t="s">
        <v>228</v>
      </c>
      <c r="F967" s="38" t="s">
        <v>310</v>
      </c>
      <c r="G967" s="5">
        <v>1</v>
      </c>
      <c r="H967" s="5" t="s">
        <v>395</v>
      </c>
      <c r="I967" s="156" t="s">
        <v>357</v>
      </c>
    </row>
    <row r="968" spans="1:9" x14ac:dyDescent="0.25">
      <c r="A968" s="15">
        <v>27</v>
      </c>
      <c r="B968" s="46">
        <v>0.5625</v>
      </c>
      <c r="C968" s="38">
        <v>622</v>
      </c>
      <c r="D968" s="38"/>
      <c r="E968" s="38" t="s">
        <v>187</v>
      </c>
      <c r="F968" s="38" t="s">
        <v>315</v>
      </c>
      <c r="G968" s="5">
        <v>2</v>
      </c>
      <c r="H968" s="5" t="s">
        <v>395</v>
      </c>
      <c r="I968" s="156" t="s">
        <v>357</v>
      </c>
    </row>
    <row r="969" spans="1:9" x14ac:dyDescent="0.25">
      <c r="A969" s="15">
        <v>28</v>
      </c>
      <c r="B969" s="46">
        <v>0.59375</v>
      </c>
      <c r="C969" s="38">
        <v>456</v>
      </c>
      <c r="D969" s="38"/>
      <c r="E969" s="38" t="s">
        <v>22</v>
      </c>
      <c r="F969" s="38" t="s">
        <v>310</v>
      </c>
      <c r="G969" s="5">
        <v>1</v>
      </c>
      <c r="H969" s="5" t="s">
        <v>395</v>
      </c>
      <c r="I969" s="156" t="s">
        <v>357</v>
      </c>
    </row>
    <row r="970" spans="1:9" x14ac:dyDescent="0.25">
      <c r="A970" s="15">
        <v>29</v>
      </c>
      <c r="B970" s="46">
        <v>0.6</v>
      </c>
      <c r="C970" s="38">
        <v>615</v>
      </c>
      <c r="D970" s="38"/>
      <c r="E970" s="38" t="s">
        <v>598</v>
      </c>
      <c r="F970" s="38" t="s">
        <v>315</v>
      </c>
      <c r="G970" s="5">
        <v>1</v>
      </c>
      <c r="H970" s="5" t="s">
        <v>395</v>
      </c>
      <c r="I970" s="156" t="s">
        <v>357</v>
      </c>
    </row>
    <row r="971" spans="1:9" x14ac:dyDescent="0.25">
      <c r="A971" s="15">
        <v>30</v>
      </c>
      <c r="B971" s="46">
        <v>0.62430555555555556</v>
      </c>
      <c r="C971" s="38">
        <v>456</v>
      </c>
      <c r="D971" s="38"/>
      <c r="E971" s="38" t="s">
        <v>22</v>
      </c>
      <c r="F971" s="38" t="s">
        <v>310</v>
      </c>
      <c r="G971" s="5">
        <v>1</v>
      </c>
      <c r="H971" s="5" t="s">
        <v>395</v>
      </c>
      <c r="I971" s="156" t="s">
        <v>357</v>
      </c>
    </row>
    <row r="972" spans="1:9" x14ac:dyDescent="0.25">
      <c r="A972" s="15">
        <v>31</v>
      </c>
      <c r="B972" s="46">
        <v>0.65625</v>
      </c>
      <c r="C972" s="38">
        <v>616</v>
      </c>
      <c r="D972" s="38"/>
      <c r="E972" s="38" t="s">
        <v>212</v>
      </c>
      <c r="F972" s="38" t="s">
        <v>460</v>
      </c>
      <c r="G972" s="5">
        <v>2</v>
      </c>
      <c r="H972" s="5" t="s">
        <v>395</v>
      </c>
      <c r="I972" s="156" t="s">
        <v>357</v>
      </c>
    </row>
    <row r="973" spans="1:9" x14ac:dyDescent="0.25">
      <c r="A973" s="15">
        <v>32</v>
      </c>
      <c r="B973" s="46">
        <v>0.65694444444444444</v>
      </c>
      <c r="C973" s="38">
        <v>458</v>
      </c>
      <c r="D973" s="38"/>
      <c r="E973" s="38" t="s">
        <v>228</v>
      </c>
      <c r="F973" s="38" t="s">
        <v>310</v>
      </c>
      <c r="G973" s="5">
        <v>2</v>
      </c>
      <c r="H973" s="5" t="s">
        <v>395</v>
      </c>
      <c r="I973" s="156" t="s">
        <v>357</v>
      </c>
    </row>
    <row r="974" spans="1:9" ht="19.5" thickBot="1" x14ac:dyDescent="0.3">
      <c r="A974" s="173" t="s">
        <v>648</v>
      </c>
      <c r="B974" s="174"/>
      <c r="C974" s="174"/>
      <c r="D974" s="174"/>
      <c r="E974" s="174"/>
      <c r="F974" s="174"/>
      <c r="G974" s="174"/>
      <c r="H974" s="174"/>
      <c r="I974" s="175"/>
    </row>
    <row r="975" spans="1:9" ht="19.5" thickBot="1" x14ac:dyDescent="0.3"/>
    <row r="976" spans="1:9" x14ac:dyDescent="0.25">
      <c r="A976" s="14">
        <v>1</v>
      </c>
      <c r="B976" s="45">
        <v>0.72916666666666663</v>
      </c>
      <c r="C976" s="37">
        <v>76</v>
      </c>
      <c r="D976" s="37"/>
      <c r="E976" s="37" t="s">
        <v>341</v>
      </c>
      <c r="F976" s="37" t="s">
        <v>310</v>
      </c>
      <c r="G976" s="154">
        <v>7</v>
      </c>
      <c r="H976" s="154" t="s">
        <v>395</v>
      </c>
      <c r="I976" s="155" t="s">
        <v>243</v>
      </c>
    </row>
    <row r="977" spans="1:9" x14ac:dyDescent="0.25">
      <c r="A977" s="15">
        <v>2</v>
      </c>
      <c r="B977" s="46">
        <v>0.73055555555555562</v>
      </c>
      <c r="C977" s="38">
        <v>622</v>
      </c>
      <c r="D977" s="38"/>
      <c r="E977" s="38" t="s">
        <v>187</v>
      </c>
      <c r="F977" s="38" t="s">
        <v>315</v>
      </c>
      <c r="G977" s="5">
        <v>2</v>
      </c>
      <c r="H977" s="5" t="s">
        <v>395</v>
      </c>
      <c r="I977" s="156" t="s">
        <v>243</v>
      </c>
    </row>
    <row r="978" spans="1:9" x14ac:dyDescent="0.25">
      <c r="A978" s="15">
        <v>3</v>
      </c>
      <c r="B978" s="46">
        <v>0.74861111111111101</v>
      </c>
      <c r="C978" s="38">
        <v>76</v>
      </c>
      <c r="D978" s="38"/>
      <c r="E978" s="38" t="s">
        <v>341</v>
      </c>
      <c r="F978" s="38" t="s">
        <v>497</v>
      </c>
      <c r="G978" s="5">
        <v>5</v>
      </c>
      <c r="H978" s="5" t="s">
        <v>395</v>
      </c>
      <c r="I978" s="156" t="s">
        <v>243</v>
      </c>
    </row>
    <row r="979" spans="1:9" x14ac:dyDescent="0.25">
      <c r="A979" s="15">
        <v>4</v>
      </c>
      <c r="B979" s="46">
        <v>0.79861111111111116</v>
      </c>
      <c r="C979" s="38">
        <v>76</v>
      </c>
      <c r="D979" s="38"/>
      <c r="E979" s="38" t="s">
        <v>341</v>
      </c>
      <c r="F979" s="38" t="s">
        <v>282</v>
      </c>
      <c r="G979" s="5">
        <v>8</v>
      </c>
      <c r="H979" s="5" t="s">
        <v>395</v>
      </c>
      <c r="I979" s="156" t="s">
        <v>243</v>
      </c>
    </row>
    <row r="980" spans="1:9" x14ac:dyDescent="0.25">
      <c r="A980" s="15">
        <v>5</v>
      </c>
      <c r="B980" s="46">
        <v>0.80347222222222225</v>
      </c>
      <c r="C980" s="38">
        <v>73</v>
      </c>
      <c r="D980" s="38"/>
      <c r="E980" s="38" t="s">
        <v>498</v>
      </c>
      <c r="F980" s="38" t="s">
        <v>497</v>
      </c>
      <c r="G980" s="5">
        <v>4</v>
      </c>
      <c r="H980" s="5" t="s">
        <v>395</v>
      </c>
      <c r="I980" s="156" t="s">
        <v>243</v>
      </c>
    </row>
    <row r="981" spans="1:9" x14ac:dyDescent="0.25">
      <c r="A981" s="15">
        <v>6</v>
      </c>
      <c r="B981" s="46">
        <v>0.81805555555555554</v>
      </c>
      <c r="C981" s="38">
        <v>73</v>
      </c>
      <c r="D981" s="38"/>
      <c r="E981" s="38" t="s">
        <v>498</v>
      </c>
      <c r="F981" s="38" t="s">
        <v>497</v>
      </c>
      <c r="G981" s="5">
        <v>4</v>
      </c>
      <c r="H981" s="5" t="s">
        <v>395</v>
      </c>
      <c r="I981" s="156" t="s">
        <v>243</v>
      </c>
    </row>
    <row r="982" spans="1:9" x14ac:dyDescent="0.25">
      <c r="A982" s="15">
        <v>7</v>
      </c>
      <c r="B982" s="46">
        <v>0.8208333333333333</v>
      </c>
      <c r="C982" s="38">
        <v>615</v>
      </c>
      <c r="D982" s="38"/>
      <c r="E982" s="38" t="s">
        <v>484</v>
      </c>
      <c r="F982" s="38" t="s">
        <v>315</v>
      </c>
      <c r="G982" s="5">
        <v>2</v>
      </c>
      <c r="H982" s="5" t="s">
        <v>395</v>
      </c>
      <c r="I982" s="156" t="s">
        <v>243</v>
      </c>
    </row>
    <row r="983" spans="1:9" x14ac:dyDescent="0.25">
      <c r="A983" s="179">
        <v>46135</v>
      </c>
      <c r="B983" s="180"/>
      <c r="C983" s="180"/>
      <c r="D983" s="180"/>
      <c r="E983" s="180"/>
      <c r="F983" s="180"/>
      <c r="G983" s="180"/>
      <c r="H983" s="180"/>
      <c r="I983" s="181"/>
    </row>
    <row r="984" spans="1:9" x14ac:dyDescent="0.25">
      <c r="A984" s="15">
        <v>8</v>
      </c>
      <c r="B984" s="46">
        <v>1.3888888888888888E-2</v>
      </c>
      <c r="C984" s="38">
        <v>73</v>
      </c>
      <c r="D984" s="38"/>
      <c r="E984" s="38" t="s">
        <v>498</v>
      </c>
      <c r="F984" s="38" t="s">
        <v>497</v>
      </c>
      <c r="G984" s="5">
        <v>3</v>
      </c>
      <c r="H984" s="5" t="s">
        <v>395</v>
      </c>
      <c r="I984" s="156" t="s">
        <v>243</v>
      </c>
    </row>
    <row r="985" spans="1:9" x14ac:dyDescent="0.25">
      <c r="A985" s="15">
        <v>9</v>
      </c>
      <c r="B985" s="46">
        <v>1.5277777777777777E-2</v>
      </c>
      <c r="C985" s="38">
        <v>615</v>
      </c>
      <c r="D985" s="38"/>
      <c r="E985" s="38" t="s">
        <v>484</v>
      </c>
      <c r="F985" s="38" t="s">
        <v>315</v>
      </c>
      <c r="G985" s="5">
        <v>2</v>
      </c>
      <c r="H985" s="5" t="s">
        <v>395</v>
      </c>
      <c r="I985" s="156" t="s">
        <v>243</v>
      </c>
    </row>
    <row r="986" spans="1:9" x14ac:dyDescent="0.25">
      <c r="A986" s="15">
        <v>10</v>
      </c>
      <c r="B986" s="46">
        <v>1.9444444444444445E-2</v>
      </c>
      <c r="C986" s="38">
        <v>73</v>
      </c>
      <c r="D986" s="38"/>
      <c r="E986" s="38" t="s">
        <v>498</v>
      </c>
      <c r="F986" s="38" t="s">
        <v>282</v>
      </c>
      <c r="G986" s="5">
        <v>3</v>
      </c>
      <c r="H986" s="5" t="s">
        <v>395</v>
      </c>
      <c r="I986" s="156" t="s">
        <v>243</v>
      </c>
    </row>
    <row r="987" spans="1:9" x14ac:dyDescent="0.25">
      <c r="A987" s="15">
        <v>11</v>
      </c>
      <c r="B987" s="46">
        <v>0.20625000000000002</v>
      </c>
      <c r="C987" s="38">
        <v>98</v>
      </c>
      <c r="D987" s="38"/>
      <c r="E987" s="38" t="s">
        <v>341</v>
      </c>
      <c r="F987" s="38" t="s">
        <v>497</v>
      </c>
      <c r="G987" s="5">
        <v>3</v>
      </c>
      <c r="H987" s="5" t="s">
        <v>395</v>
      </c>
      <c r="I987" s="156" t="s">
        <v>243</v>
      </c>
    </row>
    <row r="988" spans="1:9" x14ac:dyDescent="0.25">
      <c r="A988" s="15">
        <v>12</v>
      </c>
      <c r="B988" s="46">
        <v>0.21249999999999999</v>
      </c>
      <c r="C988" s="38">
        <v>73</v>
      </c>
      <c r="D988" s="38"/>
      <c r="E988" s="38" t="s">
        <v>498</v>
      </c>
      <c r="F988" s="38" t="s">
        <v>310</v>
      </c>
      <c r="G988" s="5">
        <v>2</v>
      </c>
      <c r="H988" s="5" t="s">
        <v>395</v>
      </c>
      <c r="I988" s="156" t="s">
        <v>243</v>
      </c>
    </row>
    <row r="989" spans="1:9" x14ac:dyDescent="0.25">
      <c r="A989" s="15">
        <v>13</v>
      </c>
      <c r="B989" s="46">
        <v>0.25347222222222221</v>
      </c>
      <c r="C989" s="38">
        <v>456</v>
      </c>
      <c r="D989" s="38"/>
      <c r="E989" s="38" t="s">
        <v>307</v>
      </c>
      <c r="F989" s="38" t="s">
        <v>618</v>
      </c>
      <c r="G989" s="5">
        <v>4</v>
      </c>
      <c r="H989" s="5" t="s">
        <v>395</v>
      </c>
      <c r="I989" s="156" t="s">
        <v>243</v>
      </c>
    </row>
    <row r="990" spans="1:9" x14ac:dyDescent="0.25">
      <c r="A990" s="15">
        <v>14</v>
      </c>
      <c r="B990" s="46">
        <v>0.26944444444444443</v>
      </c>
      <c r="C990" s="38">
        <v>456</v>
      </c>
      <c r="D990" s="38"/>
      <c r="E990" s="38" t="s">
        <v>307</v>
      </c>
      <c r="F990" s="38" t="s">
        <v>282</v>
      </c>
      <c r="G990" s="5">
        <v>4</v>
      </c>
      <c r="H990" s="5" t="s">
        <v>395</v>
      </c>
      <c r="I990" s="156" t="s">
        <v>243</v>
      </c>
    </row>
    <row r="991" spans="1:9" x14ac:dyDescent="0.25">
      <c r="A991" s="15">
        <v>15</v>
      </c>
      <c r="B991" s="46">
        <v>0.30763888888888891</v>
      </c>
      <c r="C991" s="38">
        <v>98</v>
      </c>
      <c r="D991" s="38"/>
      <c r="E991" s="38" t="s">
        <v>341</v>
      </c>
      <c r="F991" s="38" t="s">
        <v>310</v>
      </c>
      <c r="G991" s="5">
        <v>1</v>
      </c>
      <c r="H991" s="5" t="s">
        <v>395</v>
      </c>
      <c r="I991" s="156" t="s">
        <v>243</v>
      </c>
    </row>
    <row r="992" spans="1:9" x14ac:dyDescent="0.25">
      <c r="A992" s="15">
        <v>16</v>
      </c>
      <c r="B992" s="46">
        <v>0.32500000000000001</v>
      </c>
      <c r="C992" s="38">
        <v>98</v>
      </c>
      <c r="D992" s="38"/>
      <c r="E992" s="38" t="s">
        <v>341</v>
      </c>
      <c r="F992" s="38" t="s">
        <v>497</v>
      </c>
      <c r="G992" s="5">
        <v>1</v>
      </c>
      <c r="H992" s="5" t="s">
        <v>395</v>
      </c>
      <c r="I992" s="156" t="s">
        <v>243</v>
      </c>
    </row>
    <row r="993" spans="1:9" x14ac:dyDescent="0.25">
      <c r="A993" s="15">
        <v>17</v>
      </c>
      <c r="B993" s="46">
        <v>0.3520833333333333</v>
      </c>
      <c r="C993" s="38">
        <v>73</v>
      </c>
      <c r="D993" s="38"/>
      <c r="E993" s="38" t="s">
        <v>341</v>
      </c>
      <c r="F993" s="38" t="s">
        <v>497</v>
      </c>
      <c r="G993" s="5">
        <v>1</v>
      </c>
      <c r="H993" s="5" t="s">
        <v>395</v>
      </c>
      <c r="I993" s="156" t="s">
        <v>243</v>
      </c>
    </row>
    <row r="994" spans="1:9" x14ac:dyDescent="0.25">
      <c r="A994" s="15">
        <v>18</v>
      </c>
      <c r="B994" s="46">
        <v>0.36736111111111108</v>
      </c>
      <c r="C994" s="38">
        <v>99</v>
      </c>
      <c r="D994" s="38"/>
      <c r="E994" s="38" t="s">
        <v>341</v>
      </c>
      <c r="F994" s="38" t="s">
        <v>310</v>
      </c>
      <c r="G994" s="5">
        <v>1</v>
      </c>
      <c r="H994" s="5" t="s">
        <v>395</v>
      </c>
      <c r="I994" s="156" t="s">
        <v>243</v>
      </c>
    </row>
    <row r="995" spans="1:9" x14ac:dyDescent="0.25">
      <c r="A995" s="15">
        <v>19</v>
      </c>
      <c r="B995" s="46">
        <v>0.36805555555555558</v>
      </c>
      <c r="C995" s="38">
        <v>622</v>
      </c>
      <c r="D995" s="38"/>
      <c r="E995" s="38" t="s">
        <v>187</v>
      </c>
      <c r="F995" s="38" t="s">
        <v>315</v>
      </c>
      <c r="G995" s="5">
        <v>1</v>
      </c>
      <c r="H995" s="5" t="s">
        <v>395</v>
      </c>
      <c r="I995" s="156" t="s">
        <v>243</v>
      </c>
    </row>
    <row r="996" spans="1:9" x14ac:dyDescent="0.25">
      <c r="A996" s="15">
        <v>20</v>
      </c>
      <c r="B996" s="46">
        <v>0.3833333333333333</v>
      </c>
      <c r="C996" s="38">
        <v>451</v>
      </c>
      <c r="D996" s="38"/>
      <c r="E996" s="38" t="s">
        <v>257</v>
      </c>
      <c r="F996" s="38" t="s">
        <v>282</v>
      </c>
      <c r="G996" s="5">
        <v>1</v>
      </c>
      <c r="H996" s="5" t="s">
        <v>395</v>
      </c>
      <c r="I996" s="156" t="s">
        <v>243</v>
      </c>
    </row>
    <row r="997" spans="1:9" x14ac:dyDescent="0.25">
      <c r="A997" s="15">
        <v>20</v>
      </c>
      <c r="B997" s="46">
        <v>0.3833333333333333</v>
      </c>
      <c r="C997" s="38">
        <v>451</v>
      </c>
      <c r="D997" s="38"/>
      <c r="E997" s="38" t="s">
        <v>257</v>
      </c>
      <c r="F997" s="38" t="s">
        <v>282</v>
      </c>
      <c r="G997" s="5">
        <v>1</v>
      </c>
      <c r="H997" s="5" t="s">
        <v>395</v>
      </c>
      <c r="I997" s="156" t="s">
        <v>243</v>
      </c>
    </row>
    <row r="998" spans="1:9" x14ac:dyDescent="0.25">
      <c r="A998" s="15">
        <v>21</v>
      </c>
      <c r="B998" s="46">
        <v>0.50555555555555554</v>
      </c>
      <c r="C998" s="38">
        <v>73</v>
      </c>
      <c r="D998" s="172"/>
      <c r="E998" s="172" t="s">
        <v>341</v>
      </c>
      <c r="F998" s="38" t="s">
        <v>497</v>
      </c>
      <c r="G998" s="5">
        <v>1</v>
      </c>
      <c r="H998" s="5" t="s">
        <v>395</v>
      </c>
      <c r="I998" s="156" t="s">
        <v>243</v>
      </c>
    </row>
    <row r="999" spans="1:9" x14ac:dyDescent="0.25">
      <c r="A999" s="15">
        <v>22</v>
      </c>
      <c r="B999" s="46">
        <v>0.50694444444444442</v>
      </c>
      <c r="C999" s="38">
        <v>615</v>
      </c>
      <c r="D999" s="38"/>
      <c r="E999" s="38" t="s">
        <v>598</v>
      </c>
      <c r="F999" s="38" t="s">
        <v>315</v>
      </c>
      <c r="G999" s="5">
        <v>1</v>
      </c>
      <c r="H999" s="5" t="s">
        <v>395</v>
      </c>
      <c r="I999" s="156" t="s">
        <v>243</v>
      </c>
    </row>
    <row r="1000" spans="1:9" x14ac:dyDescent="0.25">
      <c r="A1000" s="15">
        <v>23</v>
      </c>
      <c r="B1000" s="46">
        <v>0.50763888888888886</v>
      </c>
      <c r="C1000" s="38">
        <v>434</v>
      </c>
      <c r="D1000" s="38"/>
      <c r="E1000" s="38" t="s">
        <v>416</v>
      </c>
      <c r="F1000" s="38" t="s">
        <v>310</v>
      </c>
      <c r="G1000" s="5">
        <v>1</v>
      </c>
      <c r="H1000" s="5" t="s">
        <v>395</v>
      </c>
      <c r="I1000" s="156" t="s">
        <v>243</v>
      </c>
    </row>
    <row r="1001" spans="1:9" x14ac:dyDescent="0.25">
      <c r="A1001" s="15">
        <v>24</v>
      </c>
      <c r="B1001" s="46">
        <v>0.50902777777777775</v>
      </c>
      <c r="C1001" s="38">
        <v>456</v>
      </c>
      <c r="D1001" s="38"/>
      <c r="E1001" s="38" t="s">
        <v>22</v>
      </c>
      <c r="F1001" s="38" t="s">
        <v>282</v>
      </c>
      <c r="G1001" s="5">
        <v>1</v>
      </c>
      <c r="H1001" s="5" t="s">
        <v>395</v>
      </c>
      <c r="I1001" s="156" t="s">
        <v>243</v>
      </c>
    </row>
    <row r="1002" spans="1:9" x14ac:dyDescent="0.25">
      <c r="A1002" s="15">
        <v>25</v>
      </c>
      <c r="B1002" s="46">
        <v>0.50972222222222219</v>
      </c>
      <c r="C1002" s="38">
        <v>125</v>
      </c>
      <c r="D1002" s="38"/>
      <c r="E1002" s="38" t="s">
        <v>372</v>
      </c>
      <c r="F1002" s="38" t="s">
        <v>492</v>
      </c>
      <c r="G1002" s="5">
        <v>4</v>
      </c>
      <c r="H1002" s="5" t="s">
        <v>395</v>
      </c>
      <c r="I1002" s="156" t="s">
        <v>243</v>
      </c>
    </row>
    <row r="1003" spans="1:9" x14ac:dyDescent="0.25">
      <c r="A1003" s="15">
        <v>26</v>
      </c>
      <c r="B1003" s="46">
        <v>0.55625000000000002</v>
      </c>
      <c r="C1003" s="38">
        <v>98</v>
      </c>
      <c r="D1003" s="38"/>
      <c r="E1003" s="38" t="s">
        <v>341</v>
      </c>
      <c r="F1003" s="38" t="s">
        <v>497</v>
      </c>
      <c r="G1003" s="5">
        <v>5</v>
      </c>
      <c r="H1003" s="5" t="s">
        <v>395</v>
      </c>
      <c r="I1003" s="156" t="s">
        <v>243</v>
      </c>
    </row>
    <row r="1004" spans="1:9" x14ac:dyDescent="0.25">
      <c r="A1004" s="15">
        <v>27</v>
      </c>
      <c r="B1004" s="46">
        <v>0.55902777777777779</v>
      </c>
      <c r="C1004" s="38">
        <v>616</v>
      </c>
      <c r="D1004" s="38"/>
      <c r="E1004" s="38" t="s">
        <v>212</v>
      </c>
      <c r="F1004" s="38" t="s">
        <v>315</v>
      </c>
      <c r="G1004" s="5">
        <v>3</v>
      </c>
      <c r="H1004" s="5" t="s">
        <v>395</v>
      </c>
      <c r="I1004" s="156" t="s">
        <v>243</v>
      </c>
    </row>
    <row r="1005" spans="1:9" x14ac:dyDescent="0.25">
      <c r="A1005" s="15">
        <v>28</v>
      </c>
      <c r="B1005" s="46">
        <v>0.56388888888888888</v>
      </c>
      <c r="C1005" s="38">
        <v>453</v>
      </c>
      <c r="D1005" s="38"/>
      <c r="E1005" s="38" t="s">
        <v>274</v>
      </c>
      <c r="F1005" s="38" t="s">
        <v>282</v>
      </c>
      <c r="G1005" s="5">
        <v>3</v>
      </c>
      <c r="H1005" s="5" t="s">
        <v>395</v>
      </c>
      <c r="I1005" s="156" t="s">
        <v>243</v>
      </c>
    </row>
    <row r="1006" spans="1:9" x14ac:dyDescent="0.25">
      <c r="A1006" s="15" t="s">
        <v>655</v>
      </c>
      <c r="B1006" s="38" t="s">
        <v>656</v>
      </c>
      <c r="C1006" s="38" t="s">
        <v>657</v>
      </c>
      <c r="D1006" s="38"/>
      <c r="E1006" s="38" t="s">
        <v>658</v>
      </c>
      <c r="F1006" s="38" t="s">
        <v>360</v>
      </c>
      <c r="G1006" s="5" t="s">
        <v>659</v>
      </c>
      <c r="H1006" s="5" t="s">
        <v>306</v>
      </c>
      <c r="I1006" s="156" t="s">
        <v>243</v>
      </c>
    </row>
    <row r="1007" spans="1:9" x14ac:dyDescent="0.25">
      <c r="A1007" s="15" t="s">
        <v>660</v>
      </c>
      <c r="B1007" s="38" t="s">
        <v>661</v>
      </c>
      <c r="C1007" s="38" t="s">
        <v>662</v>
      </c>
      <c r="D1007" s="38" t="s">
        <v>663</v>
      </c>
      <c r="E1007" s="38" t="s">
        <v>664</v>
      </c>
      <c r="F1007" s="38" t="s">
        <v>366</v>
      </c>
      <c r="G1007" s="5" t="s">
        <v>659</v>
      </c>
      <c r="H1007" s="5" t="s">
        <v>306</v>
      </c>
      <c r="I1007" s="156" t="s">
        <v>243</v>
      </c>
    </row>
    <row r="1008" spans="1:9" x14ac:dyDescent="0.25">
      <c r="A1008" s="15">
        <v>31</v>
      </c>
      <c r="B1008" s="38" t="s">
        <v>665</v>
      </c>
      <c r="C1008" s="38" t="s">
        <v>666</v>
      </c>
      <c r="D1008" s="38" t="s">
        <v>663</v>
      </c>
      <c r="E1008" s="38" t="s">
        <v>667</v>
      </c>
      <c r="F1008" s="38" t="s">
        <v>668</v>
      </c>
      <c r="G1008" s="5" t="s">
        <v>669</v>
      </c>
      <c r="H1008" s="5" t="s">
        <v>306</v>
      </c>
      <c r="I1008" s="156" t="s">
        <v>243</v>
      </c>
    </row>
    <row r="1009" spans="1:9" x14ac:dyDescent="0.25">
      <c r="A1009" s="15">
        <v>32</v>
      </c>
      <c r="B1009" s="46">
        <v>0.65972222222222221</v>
      </c>
      <c r="C1009" s="38">
        <v>116</v>
      </c>
      <c r="D1009" s="38"/>
      <c r="E1009" s="38" t="s">
        <v>541</v>
      </c>
      <c r="F1009" s="38" t="s">
        <v>497</v>
      </c>
      <c r="G1009" s="5">
        <v>1</v>
      </c>
      <c r="H1009" s="5" t="s">
        <v>395</v>
      </c>
      <c r="I1009" s="156" t="s">
        <v>243</v>
      </c>
    </row>
    <row r="1010" spans="1:9" x14ac:dyDescent="0.25">
      <c r="A1010" s="15">
        <v>33</v>
      </c>
      <c r="B1010" s="46">
        <v>0.65972222222222221</v>
      </c>
      <c r="C1010" s="38">
        <v>622</v>
      </c>
      <c r="D1010" s="38"/>
      <c r="E1010" s="38" t="s">
        <v>187</v>
      </c>
      <c r="F1010" s="38" t="s">
        <v>315</v>
      </c>
      <c r="G1010" s="5">
        <v>1</v>
      </c>
      <c r="H1010" s="5" t="s">
        <v>395</v>
      </c>
      <c r="I1010" s="156" t="s">
        <v>243</v>
      </c>
    </row>
    <row r="1011" spans="1:9" x14ac:dyDescent="0.25">
      <c r="A1011" s="15">
        <v>34</v>
      </c>
      <c r="B1011" s="46">
        <v>0.66041666666666665</v>
      </c>
      <c r="C1011" s="38">
        <v>126</v>
      </c>
      <c r="D1011" s="38"/>
      <c r="E1011" s="38" t="s">
        <v>372</v>
      </c>
      <c r="F1011" s="38" t="s">
        <v>310</v>
      </c>
      <c r="G1011" s="5">
        <v>1</v>
      </c>
      <c r="H1011" s="5" t="s">
        <v>395</v>
      </c>
      <c r="I1011" s="156" t="s">
        <v>243</v>
      </c>
    </row>
    <row r="1012" spans="1:9" x14ac:dyDescent="0.25">
      <c r="A1012" s="15">
        <v>35</v>
      </c>
      <c r="B1012" s="46">
        <v>0.66111111111111109</v>
      </c>
      <c r="C1012" s="38">
        <v>116</v>
      </c>
      <c r="D1012" s="38"/>
      <c r="E1012" s="38" t="s">
        <v>541</v>
      </c>
      <c r="F1012" s="38" t="s">
        <v>497</v>
      </c>
      <c r="G1012" s="5">
        <v>1</v>
      </c>
      <c r="H1012" s="5" t="s">
        <v>395</v>
      </c>
      <c r="I1012" s="156" t="s">
        <v>243</v>
      </c>
    </row>
    <row r="1013" spans="1:9" x14ac:dyDescent="0.25">
      <c r="A1013" s="15">
        <v>36</v>
      </c>
      <c r="B1013" s="38"/>
      <c r="C1013" s="38">
        <v>615</v>
      </c>
      <c r="D1013" s="38"/>
      <c r="E1013" s="38" t="s">
        <v>598</v>
      </c>
      <c r="F1013" s="38" t="s">
        <v>315</v>
      </c>
      <c r="G1013" s="5">
        <v>1</v>
      </c>
      <c r="H1013" s="5" t="s">
        <v>395</v>
      </c>
      <c r="I1013" s="156" t="s">
        <v>243</v>
      </c>
    </row>
    <row r="1014" spans="1:9" x14ac:dyDescent="0.25">
      <c r="A1014" s="15">
        <v>37</v>
      </c>
      <c r="B1014" s="46">
        <v>0.66319444444444442</v>
      </c>
      <c r="C1014" s="38">
        <v>98</v>
      </c>
      <c r="D1014" s="38"/>
      <c r="E1014" s="38" t="s">
        <v>341</v>
      </c>
      <c r="F1014" s="38" t="s">
        <v>315</v>
      </c>
      <c r="G1014" s="5">
        <v>1</v>
      </c>
      <c r="H1014" s="5" t="s">
        <v>395</v>
      </c>
      <c r="I1014" s="156" t="s">
        <v>243</v>
      </c>
    </row>
    <row r="1015" spans="1:9" x14ac:dyDescent="0.25">
      <c r="A1015" s="15">
        <v>38</v>
      </c>
      <c r="B1015" s="46">
        <v>0.66319444444444442</v>
      </c>
      <c r="C1015" s="38">
        <v>470</v>
      </c>
      <c r="D1015" s="38"/>
      <c r="E1015" s="38" t="s">
        <v>22</v>
      </c>
      <c r="F1015" s="38" t="s">
        <v>670</v>
      </c>
      <c r="G1015" s="5">
        <v>1</v>
      </c>
      <c r="H1015" s="5" t="s">
        <v>395</v>
      </c>
      <c r="I1015" s="156" t="s">
        <v>243</v>
      </c>
    </row>
    <row r="1016" spans="1:9" x14ac:dyDescent="0.25">
      <c r="A1016" s="15">
        <v>39</v>
      </c>
      <c r="B1016" s="46">
        <v>0.66388888888888886</v>
      </c>
      <c r="C1016" s="38">
        <v>119</v>
      </c>
      <c r="D1016" s="38"/>
      <c r="E1016" s="38" t="s">
        <v>599</v>
      </c>
      <c r="F1016" s="38" t="s">
        <v>310</v>
      </c>
      <c r="G1016" s="5">
        <v>1</v>
      </c>
      <c r="H1016" s="5" t="s">
        <v>395</v>
      </c>
      <c r="I1016" s="156" t="s">
        <v>243</v>
      </c>
    </row>
    <row r="1017" spans="1:9" x14ac:dyDescent="0.25">
      <c r="A1017" s="15">
        <v>40</v>
      </c>
      <c r="B1017" s="46">
        <v>0.6645833333333333</v>
      </c>
      <c r="C1017" s="38">
        <v>451</v>
      </c>
      <c r="D1017" s="38"/>
      <c r="E1017" s="38" t="s">
        <v>257</v>
      </c>
      <c r="F1017" s="38" t="s">
        <v>282</v>
      </c>
      <c r="G1017" s="5">
        <v>1</v>
      </c>
      <c r="H1017" s="5" t="s">
        <v>395</v>
      </c>
      <c r="I1017" s="156" t="s">
        <v>243</v>
      </c>
    </row>
    <row r="1018" spans="1:9" x14ac:dyDescent="0.25">
      <c r="A1018" s="15">
        <v>41</v>
      </c>
      <c r="B1018" s="46">
        <v>0.66666666666666663</v>
      </c>
      <c r="C1018" s="38">
        <v>125</v>
      </c>
      <c r="D1018" s="38"/>
      <c r="E1018" s="38" t="s">
        <v>372</v>
      </c>
      <c r="F1018" s="38" t="s">
        <v>310</v>
      </c>
      <c r="G1018" s="5">
        <v>1</v>
      </c>
      <c r="H1018" s="5" t="s">
        <v>395</v>
      </c>
      <c r="I1018" s="156" t="s">
        <v>243</v>
      </c>
    </row>
    <row r="1019" spans="1:9" ht="19.5" thickBot="1" x14ac:dyDescent="0.3">
      <c r="A1019" s="173" t="s">
        <v>671</v>
      </c>
      <c r="B1019" s="174"/>
      <c r="C1019" s="174"/>
      <c r="D1019" s="174"/>
      <c r="E1019" s="174"/>
      <c r="F1019" s="174"/>
      <c r="G1019" s="174"/>
      <c r="H1019" s="174"/>
      <c r="I1019" s="175"/>
    </row>
    <row r="1021" spans="1:9" x14ac:dyDescent="0.25">
      <c r="A1021" s="1">
        <v>1</v>
      </c>
      <c r="B1021" s="100">
        <v>0.68819444444444444</v>
      </c>
      <c r="C1021" s="44">
        <v>468</v>
      </c>
      <c r="E1021" s="44" t="s">
        <v>22</v>
      </c>
      <c r="F1021" s="44" t="s">
        <v>282</v>
      </c>
      <c r="G1021" s="153">
        <v>1</v>
      </c>
      <c r="H1021" s="153" t="s">
        <v>395</v>
      </c>
      <c r="I1021" s="153" t="s">
        <v>243</v>
      </c>
    </row>
    <row r="1022" spans="1:9" x14ac:dyDescent="0.25">
      <c r="A1022" s="1">
        <v>2</v>
      </c>
      <c r="B1022" s="100">
        <v>0.68958333333333333</v>
      </c>
      <c r="C1022" s="44">
        <v>99</v>
      </c>
      <c r="E1022" s="44" t="s">
        <v>341</v>
      </c>
      <c r="F1022" s="44" t="s">
        <v>672</v>
      </c>
      <c r="G1022" s="153">
        <v>4</v>
      </c>
      <c r="H1022" s="153" t="s">
        <v>395</v>
      </c>
      <c r="I1022" s="153" t="s">
        <v>243</v>
      </c>
    </row>
    <row r="1023" spans="1:9" x14ac:dyDescent="0.25">
      <c r="A1023" s="1">
        <v>3</v>
      </c>
      <c r="B1023" s="100">
        <v>0.97361111111111109</v>
      </c>
      <c r="C1023" s="44">
        <v>457</v>
      </c>
      <c r="E1023" s="44" t="s">
        <v>307</v>
      </c>
      <c r="F1023" s="44" t="s">
        <v>310</v>
      </c>
      <c r="G1023" s="153">
        <v>3</v>
      </c>
      <c r="H1023" s="153" t="s">
        <v>395</v>
      </c>
      <c r="I1023" s="153" t="s">
        <v>243</v>
      </c>
    </row>
    <row r="1024" spans="1:9" x14ac:dyDescent="0.25">
      <c r="A1024" s="1">
        <v>4</v>
      </c>
      <c r="B1024" s="100">
        <v>0.97569444444444453</v>
      </c>
      <c r="C1024" s="44">
        <v>410</v>
      </c>
      <c r="E1024" s="44" t="s">
        <v>257</v>
      </c>
      <c r="F1024" s="44" t="s">
        <v>618</v>
      </c>
      <c r="G1024" s="153">
        <v>1</v>
      </c>
      <c r="H1024" s="153" t="s">
        <v>395</v>
      </c>
      <c r="I1024" s="153" t="s">
        <v>243</v>
      </c>
    </row>
    <row r="1025" spans="1:9" x14ac:dyDescent="0.25">
      <c r="A1025" s="225">
        <v>46135</v>
      </c>
      <c r="B1025" s="226"/>
      <c r="C1025" s="226"/>
      <c r="D1025" s="226"/>
      <c r="E1025" s="226"/>
      <c r="F1025" s="226"/>
      <c r="G1025" s="226"/>
      <c r="H1025" s="226"/>
      <c r="I1025" s="226"/>
    </row>
    <row r="1026" spans="1:9" x14ac:dyDescent="0.25">
      <c r="A1026" s="1">
        <v>5</v>
      </c>
      <c r="B1026" s="100">
        <v>0.11805555555555557</v>
      </c>
      <c r="C1026" s="44">
        <v>98</v>
      </c>
      <c r="E1026" s="44" t="s">
        <v>341</v>
      </c>
      <c r="F1026" s="44" t="s">
        <v>497</v>
      </c>
      <c r="G1026" s="153">
        <v>3</v>
      </c>
      <c r="H1026" s="153" t="s">
        <v>395</v>
      </c>
      <c r="I1026" s="153" t="s">
        <v>243</v>
      </c>
    </row>
    <row r="1027" spans="1:9" x14ac:dyDescent="0.25">
      <c r="A1027" s="1">
        <v>6</v>
      </c>
      <c r="B1027" s="100">
        <v>0.12152777777777778</v>
      </c>
      <c r="C1027" s="44">
        <v>456</v>
      </c>
      <c r="E1027" s="44" t="s">
        <v>307</v>
      </c>
      <c r="F1027" s="44" t="s">
        <v>282</v>
      </c>
      <c r="G1027" s="153">
        <v>1</v>
      </c>
      <c r="H1027" s="153" t="s">
        <v>395</v>
      </c>
      <c r="I1027" s="153" t="s">
        <v>243</v>
      </c>
    </row>
    <row r="1028" spans="1:9" x14ac:dyDescent="0.25">
      <c r="A1028" s="1">
        <v>7</v>
      </c>
      <c r="B1028" s="46">
        <v>0.15972222222222224</v>
      </c>
      <c r="C1028" s="38">
        <v>615</v>
      </c>
      <c r="D1028" s="38"/>
      <c r="E1028" s="38" t="s">
        <v>598</v>
      </c>
      <c r="F1028" s="38" t="s">
        <v>315</v>
      </c>
      <c r="G1028" s="5">
        <v>1</v>
      </c>
      <c r="H1028" s="5" t="s">
        <v>395</v>
      </c>
      <c r="I1028" s="156" t="s">
        <v>243</v>
      </c>
    </row>
    <row r="1029" spans="1:9" x14ac:dyDescent="0.25">
      <c r="A1029" s="1">
        <v>8</v>
      </c>
      <c r="B1029" s="100">
        <v>0.16111111111111112</v>
      </c>
      <c r="C1029" s="38">
        <v>119</v>
      </c>
      <c r="D1029" s="38"/>
      <c r="E1029" s="38" t="s">
        <v>599</v>
      </c>
      <c r="F1029" s="38" t="s">
        <v>310</v>
      </c>
      <c r="G1029" s="5">
        <v>1</v>
      </c>
      <c r="H1029" s="5" t="s">
        <v>395</v>
      </c>
      <c r="I1029" s="156" t="s">
        <v>243</v>
      </c>
    </row>
    <row r="1030" spans="1:9" x14ac:dyDescent="0.25">
      <c r="A1030" s="1">
        <v>9</v>
      </c>
      <c r="B1030" s="100">
        <v>0.20972222222222223</v>
      </c>
      <c r="C1030" s="44">
        <v>116</v>
      </c>
      <c r="E1030" s="38" t="s">
        <v>541</v>
      </c>
      <c r="F1030" s="38" t="s">
        <v>497</v>
      </c>
      <c r="G1030" s="5">
        <v>1</v>
      </c>
      <c r="H1030" s="5" t="s">
        <v>395</v>
      </c>
      <c r="I1030" s="156" t="s">
        <v>243</v>
      </c>
    </row>
    <row r="1031" spans="1:9" x14ac:dyDescent="0.25">
      <c r="A1031" s="1">
        <v>10</v>
      </c>
      <c r="B1031" s="100">
        <v>0.26041666666666669</v>
      </c>
      <c r="C1031" s="44">
        <v>456</v>
      </c>
      <c r="E1031" s="44" t="s">
        <v>307</v>
      </c>
      <c r="F1031" s="44" t="s">
        <v>282</v>
      </c>
      <c r="G1031" s="171">
        <v>6</v>
      </c>
      <c r="H1031" s="171" t="s">
        <v>395</v>
      </c>
      <c r="I1031" s="171" t="s">
        <v>243</v>
      </c>
    </row>
    <row r="1032" spans="1:9" x14ac:dyDescent="0.25">
      <c r="A1032" s="1">
        <v>11</v>
      </c>
      <c r="B1032" s="100">
        <v>0.31527777777777777</v>
      </c>
      <c r="C1032" s="44">
        <v>469</v>
      </c>
      <c r="E1032" s="44" t="s">
        <v>416</v>
      </c>
      <c r="F1032" s="44" t="s">
        <v>282</v>
      </c>
      <c r="G1032" s="153">
        <v>3</v>
      </c>
      <c r="H1032" s="153" t="s">
        <v>395</v>
      </c>
      <c r="I1032" s="153" t="s">
        <v>243</v>
      </c>
    </row>
    <row r="1033" spans="1:9" x14ac:dyDescent="0.25">
      <c r="A1033" s="1">
        <v>12</v>
      </c>
      <c r="B1033" s="100">
        <v>0.31666666666666665</v>
      </c>
      <c r="C1033" s="44">
        <v>452</v>
      </c>
      <c r="E1033" s="44" t="s">
        <v>274</v>
      </c>
      <c r="F1033" s="44" t="s">
        <v>311</v>
      </c>
      <c r="G1033" s="153">
        <v>2</v>
      </c>
      <c r="H1033" s="153" t="s">
        <v>395</v>
      </c>
      <c r="I1033" s="153" t="s">
        <v>243</v>
      </c>
    </row>
    <row r="1034" spans="1:9" x14ac:dyDescent="0.25">
      <c r="A1034" s="1">
        <v>13</v>
      </c>
      <c r="B1034" s="100">
        <v>0.31805555555555554</v>
      </c>
      <c r="C1034" s="44">
        <v>469</v>
      </c>
      <c r="E1034" s="44" t="s">
        <v>416</v>
      </c>
      <c r="F1034" s="44" t="s">
        <v>497</v>
      </c>
      <c r="G1034" s="153">
        <v>1</v>
      </c>
      <c r="H1034" s="153" t="s">
        <v>395</v>
      </c>
      <c r="I1034" s="153" t="s">
        <v>243</v>
      </c>
    </row>
    <row r="1035" spans="1:9" x14ac:dyDescent="0.25">
      <c r="A1035" s="1">
        <v>14</v>
      </c>
      <c r="B1035" s="100">
        <v>0.35694444444444445</v>
      </c>
      <c r="C1035" s="44">
        <v>457</v>
      </c>
      <c r="E1035" s="44" t="s">
        <v>22</v>
      </c>
      <c r="F1035" s="44" t="s">
        <v>286</v>
      </c>
      <c r="G1035" s="153">
        <v>1</v>
      </c>
      <c r="H1035" s="153" t="s">
        <v>395</v>
      </c>
      <c r="I1035" s="153" t="s">
        <v>243</v>
      </c>
    </row>
    <row r="1036" spans="1:9" x14ac:dyDescent="0.25">
      <c r="A1036" s="1">
        <v>15</v>
      </c>
      <c r="B1036" s="100">
        <v>0.37013888888888885</v>
      </c>
      <c r="C1036" s="44">
        <v>116</v>
      </c>
      <c r="E1036" s="44" t="s">
        <v>541</v>
      </c>
      <c r="F1036" s="44" t="s">
        <v>683</v>
      </c>
      <c r="G1036" s="153">
        <v>1</v>
      </c>
      <c r="H1036" s="153" t="s">
        <v>395</v>
      </c>
      <c r="I1036" s="153" t="s">
        <v>243</v>
      </c>
    </row>
    <row r="1037">
      <c r="A1037" t="s" s="1">
        <v>684</v>
      </c>
      <c r="B1037" t="s" s="44">
        <v>685</v>
      </c>
      <c r="C1037" t="s" s="44">
        <v>686</v>
      </c>
      <c r="D1037" t="s" s="44">
        <v>663</v>
      </c>
      <c r="E1037" t="s" s="44">
        <v>687</v>
      </c>
      <c r="F1037" t="s" s="44">
        <v>443</v>
      </c>
      <c r="G1037" t="s" s="153">
        <v>688</v>
      </c>
      <c r="H1037" t="s" s="153">
        <v>306</v>
      </c>
      <c r="I1037" t="s" s="153">
        <v>243</v>
      </c>
    </row>
    <row r="1038">
      <c r="A1038" t="s" s="1">
        <v>689</v>
      </c>
      <c r="B1038" t="s" s="44">
        <v>690</v>
      </c>
      <c r="C1038" t="s" s="44">
        <v>691</v>
      </c>
      <c r="D1038" t="s" s="44">
        <v>663</v>
      </c>
      <c r="E1038" t="s" s="44">
        <v>667</v>
      </c>
      <c r="F1038" t="s" s="44">
        <v>692</v>
      </c>
      <c r="G1038" t="s" s="153">
        <v>659</v>
      </c>
      <c r="H1038" t="s" s="153">
        <v>306</v>
      </c>
      <c r="I1038" t="s" s="153">
        <v>243</v>
      </c>
    </row>
  </sheetData>
  <mergeCells count="137">
    <mergeCell ref="A1025:I1025"/>
    <mergeCell ref="A677:I677"/>
    <mergeCell ref="A683:I683"/>
    <mergeCell ref="A652:I652"/>
    <mergeCell ref="A663:I663"/>
    <mergeCell ref="A665:I665"/>
    <mergeCell ref="A670:I670"/>
    <mergeCell ref="A672:I672"/>
    <mergeCell ref="A623:I623"/>
    <mergeCell ref="A626:I626"/>
    <mergeCell ref="A639:I639"/>
    <mergeCell ref="A647:I647"/>
    <mergeCell ref="A641:I641"/>
    <mergeCell ref="A605:I605"/>
    <mergeCell ref="A608:I608"/>
    <mergeCell ref="A614:I614"/>
    <mergeCell ref="A616:I616"/>
    <mergeCell ref="A565:I565"/>
    <mergeCell ref="A569:I569"/>
    <mergeCell ref="A582:I582"/>
    <mergeCell ref="A588:I588"/>
    <mergeCell ref="A596:I596"/>
    <mergeCell ref="A513:I513"/>
    <mergeCell ref="A517:I517"/>
    <mergeCell ref="A481:I481"/>
    <mergeCell ref="A486:I486"/>
    <mergeCell ref="A498:I498"/>
    <mergeCell ref="A501:I501"/>
    <mergeCell ref="J500:K500"/>
    <mergeCell ref="A428:I428"/>
    <mergeCell ref="A599:I599"/>
    <mergeCell ref="A522:I522"/>
    <mergeCell ref="A543:I543"/>
    <mergeCell ref="A545:I545"/>
    <mergeCell ref="A509:I509"/>
    <mergeCell ref="A113:I113"/>
    <mergeCell ref="A118:I118"/>
    <mergeCell ref="A134:I134"/>
    <mergeCell ref="A330:I330"/>
    <mergeCell ref="A337:I337"/>
    <mergeCell ref="A352:I352"/>
    <mergeCell ref="A193:I193"/>
    <mergeCell ref="A204:I204"/>
    <mergeCell ref="A208:I208"/>
    <mergeCell ref="A221:I221"/>
    <mergeCell ref="A225:I225"/>
    <mergeCell ref="A155:I155"/>
    <mergeCell ref="A167:I167"/>
    <mergeCell ref="A177:I177"/>
    <mergeCell ref="A190:I190"/>
    <mergeCell ref="A242:I242"/>
    <mergeCell ref="A245:I245"/>
    <mergeCell ref="A256:I256"/>
    <mergeCell ref="A260:I260"/>
    <mergeCell ref="A306:I306"/>
    <mergeCell ref="A316:I316"/>
    <mergeCell ref="A319:I319"/>
    <mergeCell ref="A271:I271"/>
    <mergeCell ref="A275:I275"/>
    <mergeCell ref="B1:I1"/>
    <mergeCell ref="A5:I5"/>
    <mergeCell ref="A3:I3"/>
    <mergeCell ref="A17:I17"/>
    <mergeCell ref="A152:I152"/>
    <mergeCell ref="A30:I30"/>
    <mergeCell ref="A13:I13"/>
    <mergeCell ref="A23:I23"/>
    <mergeCell ref="A34:I34"/>
    <mergeCell ref="A35:I35"/>
    <mergeCell ref="A39:I39"/>
    <mergeCell ref="A46:I46"/>
    <mergeCell ref="A47:I47"/>
    <mergeCell ref="A50:I50"/>
    <mergeCell ref="A62:I62"/>
    <mergeCell ref="A65:I65"/>
    <mergeCell ref="A70:I70"/>
    <mergeCell ref="A72:I72"/>
    <mergeCell ref="A79:I79"/>
    <mergeCell ref="A88:I88"/>
    <mergeCell ref="A143:I143"/>
    <mergeCell ref="A145:I145"/>
    <mergeCell ref="A96:I96"/>
    <mergeCell ref="A103:I103"/>
    <mergeCell ref="A288:I288"/>
    <mergeCell ref="A294:I294"/>
    <mergeCell ref="A301:I301"/>
    <mergeCell ref="A464:I464"/>
    <mergeCell ref="A469:I469"/>
    <mergeCell ref="A430:I430"/>
    <mergeCell ref="A436:I436"/>
    <mergeCell ref="A443:I443"/>
    <mergeCell ref="A450:I450"/>
    <mergeCell ref="A452:I452"/>
    <mergeCell ref="A356:I356"/>
    <mergeCell ref="A365:I365"/>
    <mergeCell ref="A408:I408"/>
    <mergeCell ref="A417:I417"/>
    <mergeCell ref="A419:I419"/>
    <mergeCell ref="A368:I368"/>
    <mergeCell ref="A374:I374"/>
    <mergeCell ref="A384:I384"/>
    <mergeCell ref="A388:I388"/>
    <mergeCell ref="A403:I403"/>
    <mergeCell ref="A376:I376"/>
    <mergeCell ref="A688:I688"/>
    <mergeCell ref="A692:I692"/>
    <mergeCell ref="A699:I699"/>
    <mergeCell ref="A703:I703"/>
    <mergeCell ref="A711:I711"/>
    <mergeCell ref="A715:I715"/>
    <mergeCell ref="A727:I727"/>
    <mergeCell ref="A729:I729"/>
    <mergeCell ref="A734:I734"/>
    <mergeCell ref="A1019:I1019"/>
    <mergeCell ref="A736:I736"/>
    <mergeCell ref="A747:I747"/>
    <mergeCell ref="A749:I749"/>
    <mergeCell ref="A760:I760"/>
    <mergeCell ref="A765:I765"/>
    <mergeCell ref="A776:I776"/>
    <mergeCell ref="A778:I778"/>
    <mergeCell ref="A798:I798"/>
    <mergeCell ref="A802:I802"/>
    <mergeCell ref="A921:I921"/>
    <mergeCell ref="A939:I939"/>
    <mergeCell ref="A946:I946"/>
    <mergeCell ref="A974:I974"/>
    <mergeCell ref="A983:I983"/>
    <mergeCell ref="A817:I817"/>
    <mergeCell ref="A819:I819"/>
    <mergeCell ref="A834:I834"/>
    <mergeCell ref="A840:I840"/>
    <mergeCell ref="A858:I858"/>
    <mergeCell ref="A863:I863"/>
    <mergeCell ref="A876:I876"/>
    <mergeCell ref="A880:I880"/>
    <mergeCell ref="A909:I909"/>
  </mergeCells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1026" r:id="rId4" name="zapZadachy">
          <controlPr defaultSize="0" autoLine="0" r:id="rId5">
            <anchor moveWithCells="1">
              <from>
                <xdr:col>9</xdr:col>
                <xdr:colOff>9525</xdr:colOff>
                <xdr:row>0</xdr:row>
                <xdr:rowOff>38100</xdr:rowOff>
              </from>
              <to>
                <xdr:col>10</xdr:col>
                <xdr:colOff>209550</xdr:colOff>
                <xdr:row>2</xdr:row>
                <xdr:rowOff>0</xdr:rowOff>
              </to>
            </anchor>
          </controlPr>
        </control>
      </mc:Choice>
      <mc:Fallback>
        <control shapeId="1026" r:id="rId4" name="zapZadach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O26"/>
  <sheetViews>
    <sheetView topLeftCell="B1" zoomScale="120" zoomScaleNormal="120" workbookViewId="0">
      <selection activeCell="R10" sqref="R10"/>
    </sheetView>
  </sheetViews>
  <sheetFormatPr defaultRowHeight="18.75" x14ac:dyDescent="0.25"/>
  <cols>
    <col min="1" max="1" style="1" width="9.140625"/>
    <col min="2" max="2" customWidth="true" style="1" width="12.28515625"/>
    <col min="3" max="3" customWidth="true" style="1" width="11.42578125"/>
    <col min="4" max="4" customWidth="true" style="1" width="15.0"/>
    <col min="5" max="7" style="1" width="9.140625"/>
    <col min="8" max="8" customWidth="true" style="1" width="16.28515625"/>
    <col min="9" max="9" style="1" width="9.140625"/>
    <col min="10" max="10" customWidth="true" style="1" width="12.5703125"/>
    <col min="11" max="11" customWidth="true" style="1" width="10.42578125"/>
    <col min="12" max="16384" style="1" width="9.140625"/>
  </cols>
  <sheetData>
    <row r="1" spans="1:15" x14ac:dyDescent="0.25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J1" s="201" t="s">
        <v>149</v>
      </c>
      <c r="K1" s="201"/>
      <c r="L1" s="201"/>
      <c r="M1" s="201"/>
    </row>
    <row r="2" spans="1:15" x14ac:dyDescent="0.25">
      <c r="A2" s="25" t="s">
        <v>49</v>
      </c>
      <c r="B2" s="25" t="s">
        <v>74</v>
      </c>
      <c r="C2" s="34">
        <v>31</v>
      </c>
      <c r="D2" s="34"/>
      <c r="E2" s="34">
        <v>1</v>
      </c>
      <c r="F2" s="34"/>
      <c r="G2" s="34">
        <v>60</v>
      </c>
      <c r="H2" s="34"/>
      <c r="J2" s="201" t="s">
        <v>148</v>
      </c>
      <c r="K2" s="1" t="s">
        <v>162</v>
      </c>
      <c r="L2" s="1" t="s">
        <v>161</v>
      </c>
      <c r="M2" s="1" t="s">
        <v>168</v>
      </c>
    </row>
    <row r="3" spans="1:15" x14ac:dyDescent="0.25">
      <c r="A3" s="25"/>
      <c r="B3" s="25" t="s">
        <v>75</v>
      </c>
      <c r="C3" s="34"/>
      <c r="D3" s="34"/>
      <c r="E3" s="34">
        <v>5</v>
      </c>
      <c r="F3" s="34"/>
      <c r="G3" s="34">
        <v>60</v>
      </c>
      <c r="H3" s="34" t="s">
        <v>613</v>
      </c>
      <c r="J3" s="201"/>
      <c r="K3" s="81">
        <v>14</v>
      </c>
      <c r="L3" s="81">
        <v>14</v>
      </c>
      <c r="M3" s="82">
        <f>SUM(K3:L3)</f>
        <v>28</v>
      </c>
    </row>
    <row r="4" spans="1:15" ht="19.5" thickBot="1" x14ac:dyDescent="0.3">
      <c r="A4" s="25"/>
      <c r="B4" s="25" t="s">
        <v>76</v>
      </c>
      <c r="C4" s="34"/>
      <c r="D4" s="34"/>
      <c r="E4" s="34"/>
      <c r="F4" s="34"/>
      <c r="G4" s="34"/>
      <c r="H4" s="34"/>
    </row>
    <row r="5" spans="1:15" x14ac:dyDescent="0.25">
      <c r="A5" s="25"/>
      <c r="B5" s="25" t="s">
        <v>77</v>
      </c>
      <c r="C5" s="34"/>
      <c r="D5" s="34"/>
      <c r="E5" s="34"/>
      <c r="F5" s="34"/>
      <c r="G5" s="34"/>
      <c r="H5" s="34"/>
      <c r="J5" s="104"/>
      <c r="K5" s="105"/>
      <c r="L5" s="105" t="s">
        <v>362</v>
      </c>
      <c r="M5" s="105" t="s">
        <v>393</v>
      </c>
      <c r="N5" s="208" t="s">
        <v>364</v>
      </c>
      <c r="O5" s="209"/>
    </row>
    <row r="6" spans="1:15" x14ac:dyDescent="0.25">
      <c r="A6" s="26" t="s">
        <v>57</v>
      </c>
      <c r="B6" s="26"/>
      <c r="C6" s="58">
        <f>SUM(C2:C5)</f>
        <v>31</v>
      </c>
      <c r="D6" s="58">
        <f>SUM(D2:D5)</f>
        <v>0</v>
      </c>
      <c r="E6" s="58">
        <f>SUM(E2:E5)</f>
        <v>6</v>
      </c>
      <c r="F6" s="58">
        <f>SUM(F2:F5)</f>
        <v>0</v>
      </c>
      <c r="G6" s="58">
        <f>SUM(G2:G5)</f>
        <v>120</v>
      </c>
      <c r="H6" s="31"/>
      <c r="J6" s="106" t="s">
        <v>358</v>
      </c>
      <c r="K6" s="107" t="s">
        <v>359</v>
      </c>
      <c r="L6" s="102">
        <v>32</v>
      </c>
      <c r="M6" s="102"/>
      <c r="N6" s="204"/>
      <c r="O6" s="205"/>
    </row>
    <row r="7" spans="1:15" x14ac:dyDescent="0.25">
      <c r="J7" s="106"/>
      <c r="K7" s="107" t="s">
        <v>360</v>
      </c>
      <c r="L7" s="102">
        <v>37</v>
      </c>
      <c r="M7" s="102"/>
      <c r="N7" s="204"/>
      <c r="O7" s="205"/>
    </row>
    <row r="8" spans="1:15" x14ac:dyDescent="0.25">
      <c r="A8" s="29" t="s">
        <v>48</v>
      </c>
      <c r="B8" s="29" t="s">
        <v>78</v>
      </c>
      <c r="C8" s="35">
        <v>23</v>
      </c>
      <c r="D8" s="35"/>
      <c r="E8" s="35">
        <v>6</v>
      </c>
      <c r="F8" s="35"/>
      <c r="G8" s="35">
        <v>60</v>
      </c>
      <c r="H8" s="35">
        <v>15</v>
      </c>
      <c r="J8" s="106"/>
      <c r="K8" s="107"/>
      <c r="L8" s="103">
        <f>SUM(L6:L7)</f>
        <v>69</v>
      </c>
      <c r="M8" s="103"/>
      <c r="N8" s="107"/>
      <c r="O8" s="108"/>
    </row>
    <row r="9" spans="1:15" x14ac:dyDescent="0.25">
      <c r="A9" s="29"/>
      <c r="B9" s="29" t="s">
        <v>79</v>
      </c>
      <c r="C9" s="35">
        <v>14</v>
      </c>
      <c r="D9" s="35"/>
      <c r="E9" s="35">
        <v>7</v>
      </c>
      <c r="F9" s="35"/>
      <c r="G9" s="35">
        <v>60</v>
      </c>
      <c r="H9" s="35">
        <v>15</v>
      </c>
      <c r="J9" s="106"/>
      <c r="K9" s="107"/>
      <c r="L9" s="107"/>
      <c r="M9" s="107"/>
      <c r="N9" s="107"/>
      <c r="O9" s="108"/>
    </row>
    <row r="10" spans="1:15" x14ac:dyDescent="0.25">
      <c r="A10" s="30"/>
      <c r="B10" s="29" t="s">
        <v>80</v>
      </c>
      <c r="C10" s="35"/>
      <c r="D10" s="35"/>
      <c r="E10" s="35"/>
      <c r="F10" s="35"/>
      <c r="G10" s="35"/>
      <c r="H10" s="35"/>
      <c r="J10" s="106"/>
      <c r="K10" s="107"/>
      <c r="L10" s="212" t="s">
        <v>363</v>
      </c>
      <c r="M10" s="212"/>
      <c r="N10" s="210"/>
      <c r="O10" s="211"/>
    </row>
    <row r="11" spans="1:15" ht="19.5" thickBot="1" x14ac:dyDescent="0.3">
      <c r="A11" s="30"/>
      <c r="B11" s="29" t="s">
        <v>81</v>
      </c>
      <c r="C11" s="35"/>
      <c r="D11" s="35"/>
      <c r="E11" s="35"/>
      <c r="F11" s="35"/>
      <c r="G11" s="35"/>
      <c r="H11" s="35"/>
      <c r="J11" s="202" t="s">
        <v>361</v>
      </c>
      <c r="K11" s="203"/>
      <c r="L11" s="203"/>
      <c r="M11" s="109">
        <v>9</v>
      </c>
      <c r="N11" s="206"/>
      <c r="O11" s="207"/>
    </row>
    <row r="12" spans="1:15" x14ac:dyDescent="0.25">
      <c r="A12" s="26" t="s">
        <v>57</v>
      </c>
      <c r="B12" s="26"/>
      <c r="C12" s="58">
        <f>SUM(C8:C11)</f>
        <v>37</v>
      </c>
      <c r="D12" s="58">
        <f>SUM(D8:D11)</f>
        <v>0</v>
      </c>
      <c r="E12" s="58">
        <f>SUM(E8:E11)</f>
        <v>13</v>
      </c>
      <c r="F12" s="58">
        <f>SUM(F8:F11)</f>
        <v>0</v>
      </c>
      <c r="G12" s="58">
        <f>SUM(G8:G11)</f>
        <v>120</v>
      </c>
      <c r="H12" s="32"/>
      <c r="J12" s="201"/>
      <c r="K12" s="201"/>
      <c r="L12" s="201"/>
      <c r="M12" s="3"/>
      <c r="N12" s="3"/>
      <c r="O12" s="3"/>
    </row>
    <row r="13" spans="1:15" ht="19.5" thickBot="1" x14ac:dyDescent="0.3">
      <c r="H13" s="29"/>
    </row>
    <row r="14" spans="1:15" x14ac:dyDescent="0.25">
      <c r="A14" s="29" t="s">
        <v>50</v>
      </c>
      <c r="B14" s="29" t="s">
        <v>82</v>
      </c>
      <c r="C14" s="36">
        <v>22</v>
      </c>
      <c r="D14" s="36"/>
      <c r="E14" s="36"/>
      <c r="F14" s="36"/>
      <c r="G14" s="36">
        <v>60</v>
      </c>
      <c r="H14" s="36" t="s">
        <v>613</v>
      </c>
      <c r="J14" s="121"/>
      <c r="K14" s="122"/>
      <c r="L14" s="122" t="s">
        <v>362</v>
      </c>
      <c r="M14" s="122" t="s">
        <v>393</v>
      </c>
      <c r="N14" s="222" t="s">
        <v>364</v>
      </c>
      <c r="O14" s="223"/>
    </row>
    <row r="15" spans="1:15" x14ac:dyDescent="0.25">
      <c r="A15" s="29"/>
      <c r="B15" s="29" t="s">
        <v>83</v>
      </c>
      <c r="C15" s="36">
        <v>29</v>
      </c>
      <c r="D15" s="36"/>
      <c r="E15" s="36"/>
      <c r="F15" s="36"/>
      <c r="G15" s="36">
        <v>60</v>
      </c>
      <c r="H15" s="36"/>
      <c r="J15" s="123" t="s">
        <v>365</v>
      </c>
      <c r="K15" s="124" t="s">
        <v>366</v>
      </c>
      <c r="L15" s="125">
        <v>32</v>
      </c>
      <c r="M15" s="125">
        <v>10</v>
      </c>
      <c r="N15" s="214"/>
      <c r="O15" s="215"/>
    </row>
    <row r="16" spans="1:15" x14ac:dyDescent="0.25">
      <c r="A16" s="27"/>
      <c r="B16" s="29" t="s">
        <v>84</v>
      </c>
      <c r="C16" s="36"/>
      <c r="D16" s="36"/>
      <c r="E16" s="36"/>
      <c r="F16" s="36"/>
      <c r="G16" s="36"/>
      <c r="H16" s="36" t="s">
        <v>427</v>
      </c>
      <c r="J16" s="123"/>
      <c r="K16" s="124" t="s">
        <v>450</v>
      </c>
      <c r="L16" s="125">
        <v>28</v>
      </c>
      <c r="M16" s="125">
        <v>8</v>
      </c>
      <c r="N16" s="214" t="s">
        <v>537</v>
      </c>
      <c r="O16" s="215"/>
    </row>
    <row r="17" spans="1:15" x14ac:dyDescent="0.25">
      <c r="A17" s="27"/>
      <c r="B17" s="29" t="s">
        <v>85</v>
      </c>
      <c r="C17" s="36"/>
      <c r="D17" s="36"/>
      <c r="E17" s="36"/>
      <c r="F17" s="36"/>
      <c r="G17" s="36"/>
      <c r="H17" s="36"/>
      <c r="J17" s="126"/>
      <c r="K17" s="127"/>
      <c r="L17" s="128">
        <f>SUM(L15:L16)</f>
        <v>60</v>
      </c>
      <c r="M17" s="128">
        <f>SUM(M15,M16)</f>
        <v>18</v>
      </c>
      <c r="N17" s="124"/>
      <c r="O17" s="129"/>
    </row>
    <row r="18" spans="1:15" x14ac:dyDescent="0.25">
      <c r="A18" s="26" t="s">
        <v>57</v>
      </c>
      <c r="B18" s="26"/>
      <c r="C18" s="58">
        <f>SUM(C14:C17)</f>
        <v>51</v>
      </c>
      <c r="D18" s="58">
        <f>SUM(D14:D17)</f>
        <v>0</v>
      </c>
      <c r="E18" s="58">
        <f>SUM(E14:E17)</f>
        <v>0</v>
      </c>
      <c r="F18" s="58">
        <f>SUM(F14:F17)</f>
        <v>0</v>
      </c>
      <c r="G18" s="58">
        <f>SUM(G14:G17)</f>
        <v>120</v>
      </c>
      <c r="H18" s="33"/>
      <c r="J18" s="126"/>
      <c r="K18" s="124"/>
      <c r="L18" s="221" t="s">
        <v>363</v>
      </c>
      <c r="M18" s="221"/>
      <c r="N18" s="124"/>
      <c r="O18" s="129"/>
    </row>
    <row r="19" spans="1:15" ht="19.5" thickBot="1" x14ac:dyDescent="0.3">
      <c r="J19" s="216" t="s">
        <v>367</v>
      </c>
      <c r="K19" s="217"/>
      <c r="L19" s="218"/>
      <c r="M19" s="130">
        <v>22</v>
      </c>
      <c r="N19" s="130"/>
      <c r="O19" s="131"/>
    </row>
    <row r="20" spans="1:15" x14ac:dyDescent="0.25">
      <c r="A20" s="28" t="s">
        <v>57</v>
      </c>
      <c r="B20" s="28"/>
      <c r="C20" s="28">
        <f>SUM(C6,C12,C18)</f>
        <v>119</v>
      </c>
      <c r="D20" s="28">
        <f>SUM(D6,D12,D18)</f>
        <v>0</v>
      </c>
      <c r="E20" s="28">
        <f>SUM(E6,E12,E18)</f>
        <v>19</v>
      </c>
      <c r="F20" s="28">
        <f>SUM(F6,F12,F18)</f>
        <v>0</v>
      </c>
      <c r="G20" s="28">
        <f>SUM(G6,G12,G18)</f>
        <v>360</v>
      </c>
      <c r="H20" s="28"/>
      <c r="J20" s="1" t="s">
        <v>427</v>
      </c>
    </row>
    <row r="21" spans="1:15" ht="19.5" thickBot="1" x14ac:dyDescent="0.3"/>
    <row r="22" spans="1:15" x14ac:dyDescent="0.25">
      <c r="J22" s="115"/>
      <c r="K22" s="116"/>
      <c r="L22" s="116" t="s">
        <v>362</v>
      </c>
      <c r="M22" s="116" t="s">
        <v>393</v>
      </c>
      <c r="N22" s="219" t="s">
        <v>364</v>
      </c>
      <c r="O22" s="220"/>
    </row>
    <row r="23" spans="1:15" x14ac:dyDescent="0.25">
      <c r="J23" s="110" t="s">
        <v>449</v>
      </c>
      <c r="K23" s="111"/>
      <c r="L23" s="117"/>
      <c r="M23" s="117"/>
      <c r="N23" s="117"/>
      <c r="O23" s="119"/>
    </row>
    <row r="24" spans="1:15" x14ac:dyDescent="0.25">
      <c r="J24" s="110"/>
      <c r="K24" s="111"/>
      <c r="L24" s="111"/>
      <c r="M24" s="111"/>
      <c r="N24" s="111"/>
      <c r="O24" s="112"/>
    </row>
    <row r="25" spans="1:15" x14ac:dyDescent="0.25">
      <c r="J25" s="110"/>
      <c r="K25" s="111"/>
      <c r="L25" s="111" t="s">
        <v>363</v>
      </c>
      <c r="M25" s="111"/>
      <c r="N25" s="111"/>
      <c r="O25" s="112"/>
    </row>
    <row r="26" spans="1:15" ht="19.5" thickBot="1" x14ac:dyDescent="0.3">
      <c r="J26" s="173" t="s">
        <v>367</v>
      </c>
      <c r="K26" s="174"/>
      <c r="L26" s="213"/>
      <c r="M26" s="118"/>
      <c r="N26" s="118"/>
      <c r="O26" s="120"/>
    </row>
  </sheetData>
  <mergeCells count="17">
    <mergeCell ref="J26:L26"/>
    <mergeCell ref="N16:O16"/>
    <mergeCell ref="J19:L19"/>
    <mergeCell ref="N22:O22"/>
    <mergeCell ref="J2:J3"/>
    <mergeCell ref="N15:O15"/>
    <mergeCell ref="L18:M18"/>
    <mergeCell ref="N14:O14"/>
    <mergeCell ref="J1:M1"/>
    <mergeCell ref="J11:L11"/>
    <mergeCell ref="J12:L12"/>
    <mergeCell ref="N6:O6"/>
    <mergeCell ref="N7:O7"/>
    <mergeCell ref="N11:O11"/>
    <mergeCell ref="N5:O5"/>
    <mergeCell ref="N10:O10"/>
    <mergeCell ref="L10:M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E27"/>
  <sheetViews>
    <sheetView topLeftCell="B1" workbookViewId="0">
      <pane ySplit="1" topLeftCell="A17" activePane="bottomLeft" state="frozen"/>
      <selection pane="bottomLeft" activeCell="B25" sqref="B25"/>
    </sheetView>
  </sheetViews>
  <sheetFormatPr defaultRowHeight="15" x14ac:dyDescent="0.25"/>
  <cols>
    <col min="1" max="1" customWidth="true" style="140" width="80.7109375"/>
    <col min="2" max="2" customWidth="true" style="145" width="80.7109375"/>
    <col min="3" max="3" customWidth="true" style="144" width="80.7109375"/>
    <col min="4" max="16384" style="132" width="9.140625"/>
  </cols>
  <sheetData>
    <row r="1" spans="1:5" ht="29.25" thickBot="1" x14ac:dyDescent="0.3">
      <c r="A1" s="147" t="s">
        <v>508</v>
      </c>
      <c r="B1" s="148" t="s">
        <v>509</v>
      </c>
      <c r="C1" s="149" t="s">
        <v>510</v>
      </c>
    </row>
    <row r="2" spans="1:5" s="133" customFormat="1" ht="24.95" customHeight="1" x14ac:dyDescent="0.25">
      <c r="A2" s="138" t="s">
        <v>565</v>
      </c>
      <c r="B2" s="134" t="s">
        <v>518</v>
      </c>
      <c r="C2" s="141">
        <v>513</v>
      </c>
    </row>
    <row r="3" spans="1:5" s="133" customFormat="1" ht="69.95" customHeight="1" thickBot="1" x14ac:dyDescent="0.3">
      <c r="A3" s="139" t="s">
        <v>614</v>
      </c>
      <c r="B3" s="135" t="s">
        <v>632</v>
      </c>
      <c r="C3" s="142" t="s">
        <v>513</v>
      </c>
    </row>
    <row r="4" spans="1:5" s="133" customFormat="1" ht="24.95" customHeight="1" x14ac:dyDescent="0.25">
      <c r="A4" s="138" t="s">
        <v>629</v>
      </c>
      <c r="B4" s="134">
        <v>70</v>
      </c>
      <c r="C4" s="141">
        <v>587</v>
      </c>
    </row>
    <row r="5" spans="1:5" s="133" customFormat="1" ht="69.95" customHeight="1" thickBot="1" x14ac:dyDescent="0.3">
      <c r="A5" s="139" t="s">
        <v>644</v>
      </c>
      <c r="B5" s="135" t="s">
        <v>678</v>
      </c>
      <c r="C5" s="142" t="s">
        <v>514</v>
      </c>
      <c r="E5" s="136"/>
    </row>
    <row r="6" spans="1:5" s="133" customFormat="1" ht="24.95" customHeight="1" x14ac:dyDescent="0.25">
      <c r="A6" s="138">
        <v>46</v>
      </c>
      <c r="B6" s="134" t="s">
        <v>652</v>
      </c>
      <c r="C6" s="141"/>
      <c r="D6" s="136"/>
      <c r="E6" s="136"/>
    </row>
    <row r="7" spans="1:5" s="133" customFormat="1" ht="69.95" customHeight="1" thickBot="1" x14ac:dyDescent="0.3">
      <c r="A7" s="139"/>
      <c r="B7" s="135" t="s">
        <v>649</v>
      </c>
      <c r="C7" s="142"/>
      <c r="D7" s="136"/>
      <c r="E7" s="136"/>
    </row>
    <row r="8" spans="1:5" s="133" customFormat="1" ht="24.95" customHeight="1" x14ac:dyDescent="0.25">
      <c r="A8" s="138">
        <v>506</v>
      </c>
      <c r="B8" s="134" t="s">
        <v>624</v>
      </c>
      <c r="C8" s="141">
        <v>2121</v>
      </c>
      <c r="D8" s="136"/>
      <c r="E8" s="136"/>
    </row>
    <row r="9" spans="1:5" s="133" customFormat="1" ht="69.95" customHeight="1" thickBot="1" x14ac:dyDescent="0.3">
      <c r="A9" s="139" t="s">
        <v>650</v>
      </c>
      <c r="B9" s="135" t="s">
        <v>677</v>
      </c>
      <c r="C9" s="142" t="s">
        <v>571</v>
      </c>
      <c r="D9" s="136"/>
      <c r="E9" s="136"/>
    </row>
    <row r="10" spans="1:5" s="133" customFormat="1" ht="24.95" customHeight="1" x14ac:dyDescent="0.25">
      <c r="A10" s="138" t="s">
        <v>521</v>
      </c>
      <c r="B10" s="134">
        <v>63</v>
      </c>
      <c r="C10" s="141"/>
      <c r="E10" s="136"/>
    </row>
    <row r="11" spans="1:5" s="133" customFormat="1" ht="69.95" customHeight="1" thickBot="1" x14ac:dyDescent="0.3">
      <c r="A11" s="146" t="s">
        <v>645</v>
      </c>
      <c r="B11" s="135" t="s">
        <v>676</v>
      </c>
      <c r="C11" s="142"/>
      <c r="E11" s="136"/>
    </row>
    <row r="12" spans="1:5" s="133" customFormat="1" ht="24.95" customHeight="1" x14ac:dyDescent="0.25">
      <c r="A12" s="138" t="s">
        <v>522</v>
      </c>
      <c r="B12" s="134" t="s">
        <v>623</v>
      </c>
      <c r="C12" s="141"/>
      <c r="E12" s="136"/>
    </row>
    <row r="13" spans="1:5" s="133" customFormat="1" ht="69.95" customHeight="1" thickBot="1" x14ac:dyDescent="0.3">
      <c r="A13" s="139" t="s">
        <v>570</v>
      </c>
      <c r="B13" s="137" t="s">
        <v>679</v>
      </c>
      <c r="C13" s="142"/>
      <c r="E13" s="136"/>
    </row>
    <row r="14" spans="1:5" s="133" customFormat="1" ht="24.95" customHeight="1" x14ac:dyDescent="0.25">
      <c r="A14" s="138">
        <v>57</v>
      </c>
      <c r="B14" s="134" t="s">
        <v>520</v>
      </c>
      <c r="C14" s="141"/>
    </row>
    <row r="15" spans="1:5" s="133" customFormat="1" ht="69.95" customHeight="1" thickBot="1" x14ac:dyDescent="0.3">
      <c r="A15" s="139" t="s">
        <v>681</v>
      </c>
      <c r="B15" s="135" t="s">
        <v>529</v>
      </c>
      <c r="C15" s="142"/>
    </row>
    <row r="16" spans="1:5" s="133" customFormat="1" ht="24.95" customHeight="1" x14ac:dyDescent="0.25">
      <c r="A16" s="138" t="s">
        <v>523</v>
      </c>
      <c r="B16" s="134" t="s">
        <v>592</v>
      </c>
      <c r="C16" s="141"/>
    </row>
    <row r="17" spans="1:5" s="133" customFormat="1" ht="69.95" customHeight="1" thickBot="1" x14ac:dyDescent="0.3">
      <c r="A17" s="139" t="s">
        <v>651</v>
      </c>
      <c r="B17" s="135" t="s">
        <v>653</v>
      </c>
      <c r="C17" s="142"/>
      <c r="D17" s="136"/>
    </row>
    <row r="18" spans="1:5" s="133" customFormat="1" ht="24.95" customHeight="1" x14ac:dyDescent="0.25">
      <c r="A18" s="138">
        <v>574</v>
      </c>
      <c r="B18" s="134">
        <v>36</v>
      </c>
      <c r="C18" s="141"/>
      <c r="E18" s="136"/>
    </row>
    <row r="19" spans="1:5" s="133" customFormat="1" ht="69.95" customHeight="1" thickBot="1" x14ac:dyDescent="0.3">
      <c r="A19" s="139" t="s">
        <v>524</v>
      </c>
      <c r="B19" s="135" t="s">
        <v>654</v>
      </c>
      <c r="C19" s="143"/>
      <c r="D19" s="136"/>
      <c r="E19" s="136"/>
    </row>
    <row r="20" spans="1:5" s="133" customFormat="1" ht="24.95" customHeight="1" x14ac:dyDescent="0.25">
      <c r="A20" s="138" t="s">
        <v>673</v>
      </c>
      <c r="B20" s="134" t="s">
        <v>643</v>
      </c>
      <c r="C20" s="141"/>
    </row>
    <row r="21" spans="1:5" s="133" customFormat="1" ht="69.95" customHeight="1" thickBot="1" x14ac:dyDescent="0.3">
      <c r="A21" s="139" t="s">
        <v>674</v>
      </c>
      <c r="B21" s="135" t="s">
        <v>515</v>
      </c>
      <c r="C21" s="142"/>
    </row>
    <row r="22" spans="1:5" s="150" customFormat="1" ht="24.95" customHeight="1" x14ac:dyDescent="0.25">
      <c r="A22" s="138">
        <v>89</v>
      </c>
      <c r="B22" s="134" t="s">
        <v>519</v>
      </c>
      <c r="C22" s="141"/>
    </row>
    <row r="23" spans="1:5" s="150" customFormat="1" ht="69.95" customHeight="1" thickBot="1" x14ac:dyDescent="0.3">
      <c r="A23" s="139" t="s">
        <v>680</v>
      </c>
      <c r="B23" s="135" t="s">
        <v>512</v>
      </c>
      <c r="C23" s="142"/>
    </row>
    <row r="24" spans="1:5" s="150" customFormat="1" ht="24.95" customHeight="1" x14ac:dyDescent="0.25">
      <c r="A24" s="138"/>
      <c r="B24" s="134">
        <v>22</v>
      </c>
      <c r="C24" s="141"/>
    </row>
    <row r="25" spans="1:5" s="150" customFormat="1" ht="69.95" customHeight="1" thickBot="1" x14ac:dyDescent="0.3">
      <c r="A25" s="139"/>
      <c r="B25" s="224" t="s">
        <v>675</v>
      </c>
      <c r="C25" s="142"/>
    </row>
    <row r="26" spans="1:5" s="150" customFormat="1" ht="24.95" customHeight="1" x14ac:dyDescent="0.25">
      <c r="A26" s="138"/>
      <c r="B26" s="134">
        <v>53</v>
      </c>
      <c r="C26" s="141"/>
    </row>
    <row r="27" spans="1:5" s="150" customFormat="1" ht="69.95" customHeight="1" thickBot="1" x14ac:dyDescent="0.3">
      <c r="A27" s="139"/>
      <c r="B27" s="135" t="s">
        <v>682</v>
      </c>
      <c r="C27" s="142"/>
    </row>
  </sheetData>
  <conditionalFormatting sqref="A3:C3 A5:C5 A7:C7 A9:C9 A13:C13 A11:C11 A17:C17 A19:C19 A21:C21 A23:C23 A15:C15 B25">
    <cfRule type="expression" dxfId="4" priority="8">
      <formula>ROW()=ROW(ТЕКУЩАЯ())</formula>
    </cfRule>
  </conditionalFormatting>
  <conditionalFormatting sqref="A25">
    <cfRule type="expression" dxfId="3" priority="4">
      <formula>ROW()=ROW(ТЕКУЩАЯ())</formula>
    </cfRule>
  </conditionalFormatting>
  <conditionalFormatting sqref="C25">
    <cfRule type="expression" dxfId="2" priority="3">
      <formula>ROW()=ROW(ТЕКУЩАЯ())</formula>
    </cfRule>
  </conditionalFormatting>
  <conditionalFormatting sqref="A27">
    <cfRule type="expression" dxfId="1" priority="2">
      <formula>ROW()=ROW(ТЕКУЩАЯ())</formula>
    </cfRule>
  </conditionalFormatting>
  <conditionalFormatting sqref="C27">
    <cfRule type="expression" dxfId="0" priority="1">
      <formula>ROW()=ROW(ТЕКУЩАЯ())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31"/>
  <sheetViews>
    <sheetView topLeftCell="A7" workbookViewId="0">
      <selection activeCell="K15" sqref="K15"/>
    </sheetView>
  </sheetViews>
  <sheetFormatPr defaultRowHeight="15" x14ac:dyDescent="0.25"/>
  <cols>
    <col min="1" max="3" style="95" width="9.140625"/>
    <col min="4" max="4" customWidth="true" style="95" width="13.42578125"/>
    <col min="5" max="5" customWidth="true" style="95" width="21.85546875"/>
    <col min="6" max="6" customWidth="true" style="95" width="25.85546875"/>
    <col min="7" max="9" style="95" width="9.140625"/>
  </cols>
  <sheetData>
    <row r="1" spans="1:9" ht="18.75" x14ac:dyDescent="0.25">
      <c r="A1" s="182"/>
      <c r="B1" s="183"/>
      <c r="C1" s="183"/>
      <c r="D1" s="183"/>
      <c r="E1" s="183"/>
      <c r="F1" s="183"/>
      <c r="G1" s="183"/>
      <c r="H1" s="183"/>
      <c r="I1" s="184"/>
    </row>
    <row r="2" spans="1:9" ht="18.75" x14ac:dyDescent="0.25">
      <c r="A2" s="93"/>
      <c r="B2" s="94"/>
      <c r="C2" s="93"/>
      <c r="D2" s="93"/>
      <c r="E2" s="93"/>
      <c r="F2" s="93"/>
      <c r="G2" s="93"/>
      <c r="H2" s="93"/>
      <c r="I2" s="93"/>
    </row>
    <row r="3" spans="1:9" ht="18.75" x14ac:dyDescent="0.25">
      <c r="A3" s="93"/>
      <c r="B3" s="94"/>
      <c r="C3" s="93"/>
      <c r="D3" s="93"/>
      <c r="E3" s="93"/>
      <c r="F3" s="93"/>
      <c r="G3" s="93"/>
      <c r="H3" s="93"/>
      <c r="I3" s="93"/>
    </row>
    <row r="4" spans="1:9" ht="18.75" x14ac:dyDescent="0.25">
      <c r="A4" s="182"/>
      <c r="B4" s="183"/>
      <c r="C4" s="183"/>
      <c r="D4" s="183"/>
      <c r="E4" s="183"/>
      <c r="F4" s="183"/>
      <c r="G4" s="183"/>
      <c r="H4" s="183"/>
      <c r="I4" s="184"/>
    </row>
    <row r="5" spans="1:9" ht="18.75" x14ac:dyDescent="0.25">
      <c r="A5" s="93"/>
      <c r="B5" s="94"/>
      <c r="C5" s="93"/>
      <c r="D5" s="93"/>
      <c r="E5" s="93"/>
      <c r="F5" s="93"/>
      <c r="G5" s="93"/>
      <c r="H5" s="93"/>
      <c r="I5" s="93"/>
    </row>
    <row r="6" spans="1:9" ht="18.75" x14ac:dyDescent="0.25">
      <c r="A6" s="93"/>
      <c r="B6" s="94"/>
      <c r="C6" s="93"/>
      <c r="D6" s="93"/>
      <c r="E6" s="93"/>
      <c r="F6" s="93"/>
      <c r="G6" s="93"/>
      <c r="H6" s="93"/>
      <c r="I6" s="93"/>
    </row>
    <row r="7" spans="1:9" ht="18.75" x14ac:dyDescent="0.25">
      <c r="A7" s="182"/>
      <c r="B7" s="183"/>
      <c r="C7" s="183"/>
      <c r="D7" s="183"/>
      <c r="E7" s="183"/>
      <c r="F7" s="183"/>
      <c r="G7" s="183"/>
      <c r="H7" s="183"/>
      <c r="I7" s="184"/>
    </row>
    <row r="8" spans="1:9" ht="18.75" x14ac:dyDescent="0.25">
      <c r="A8" s="93"/>
      <c r="B8" s="94"/>
      <c r="C8" s="93"/>
      <c r="D8" s="93"/>
      <c r="E8" s="93"/>
      <c r="F8" s="93"/>
      <c r="G8" s="93"/>
      <c r="H8" s="93"/>
      <c r="I8" s="93"/>
    </row>
    <row r="9" spans="1:9" ht="18.75" x14ac:dyDescent="0.25">
      <c r="A9" s="93"/>
      <c r="B9" s="94"/>
      <c r="C9" s="93"/>
      <c r="D9" s="93"/>
      <c r="E9" s="93"/>
      <c r="F9" s="93"/>
      <c r="G9" s="93"/>
      <c r="H9" s="93"/>
      <c r="I9" s="93"/>
    </row>
    <row r="10" spans="1:9" ht="18.75" x14ac:dyDescent="0.25">
      <c r="A10" s="182"/>
      <c r="B10" s="183"/>
      <c r="C10" s="183"/>
      <c r="D10" s="183"/>
      <c r="E10" s="183"/>
      <c r="F10" s="183"/>
      <c r="G10" s="183"/>
      <c r="H10" s="183"/>
      <c r="I10" s="184"/>
    </row>
    <row r="11" spans="1:9" ht="18.75" x14ac:dyDescent="0.25">
      <c r="A11" s="93"/>
      <c r="B11" s="94"/>
      <c r="C11" s="93"/>
      <c r="D11" s="93"/>
      <c r="E11" s="93"/>
      <c r="F11" s="93"/>
      <c r="G11" s="93"/>
      <c r="H11" s="93"/>
      <c r="I11" s="93"/>
    </row>
    <row r="12" spans="1:9" ht="18.75" x14ac:dyDescent="0.25">
      <c r="A12" s="93"/>
      <c r="B12" s="94"/>
      <c r="C12" s="93"/>
      <c r="D12" s="93"/>
      <c r="E12" s="93"/>
      <c r="F12" s="93"/>
      <c r="G12" s="93"/>
      <c r="H12" s="93"/>
      <c r="I12" s="93"/>
    </row>
    <row r="13" spans="1:9" ht="18.75" x14ac:dyDescent="0.25">
      <c r="A13" s="93"/>
      <c r="B13" s="94"/>
      <c r="C13" s="93"/>
      <c r="D13" s="93"/>
      <c r="E13" s="93"/>
      <c r="F13" s="93"/>
      <c r="G13" s="93"/>
      <c r="H13" s="93"/>
      <c r="I13" s="93"/>
    </row>
    <row r="14" spans="1:9" ht="18.75" x14ac:dyDescent="0.25">
      <c r="A14" s="182"/>
      <c r="B14" s="183"/>
      <c r="C14" s="183"/>
      <c r="D14" s="183"/>
      <c r="E14" s="183"/>
      <c r="F14" s="183"/>
      <c r="G14" s="183"/>
      <c r="H14" s="183"/>
      <c r="I14" s="184"/>
    </row>
    <row r="15" spans="1:9" ht="18.75" x14ac:dyDescent="0.25">
      <c r="A15" s="93"/>
      <c r="B15" s="94"/>
      <c r="C15" s="93"/>
      <c r="D15" s="93"/>
      <c r="E15" s="93"/>
      <c r="F15" s="93"/>
      <c r="G15" s="93"/>
      <c r="H15" s="93"/>
      <c r="I15" s="93"/>
    </row>
    <row r="16" spans="1:9" ht="18.75" x14ac:dyDescent="0.25">
      <c r="A16" s="93"/>
      <c r="B16" s="94"/>
      <c r="C16" s="93"/>
      <c r="D16" s="93"/>
      <c r="E16" s="93"/>
      <c r="F16" s="93"/>
      <c r="G16" s="93"/>
      <c r="H16" s="93"/>
      <c r="I16" s="93"/>
    </row>
    <row r="17" spans="1:9" ht="18.75" x14ac:dyDescent="0.25">
      <c r="A17" s="182"/>
      <c r="B17" s="183"/>
      <c r="C17" s="183"/>
      <c r="D17" s="183"/>
      <c r="E17" s="183"/>
      <c r="F17" s="183"/>
      <c r="G17" s="183"/>
      <c r="H17" s="183"/>
      <c r="I17" s="184"/>
    </row>
    <row r="18" spans="1:9" ht="18.75" x14ac:dyDescent="0.25">
      <c r="A18" s="93"/>
      <c r="B18" s="94"/>
      <c r="C18" s="93"/>
      <c r="D18" s="93"/>
      <c r="E18" s="93"/>
      <c r="F18" s="93"/>
      <c r="G18" s="93"/>
      <c r="H18" s="93"/>
      <c r="I18" s="93"/>
    </row>
    <row r="19" spans="1:9" ht="18.75" x14ac:dyDescent="0.25">
      <c r="A19" s="182"/>
      <c r="B19" s="183"/>
      <c r="C19" s="183"/>
      <c r="D19" s="183"/>
      <c r="E19" s="183"/>
      <c r="F19" s="183"/>
      <c r="G19" s="183"/>
      <c r="H19" s="183"/>
      <c r="I19" s="184"/>
    </row>
    <row r="20" spans="1:9" ht="18.75" x14ac:dyDescent="0.25">
      <c r="A20" s="93"/>
      <c r="B20" s="94"/>
      <c r="C20" s="93"/>
      <c r="D20" s="93"/>
      <c r="E20" s="93"/>
      <c r="F20" s="93"/>
      <c r="G20" s="93"/>
      <c r="H20" s="93"/>
      <c r="I20" s="93"/>
    </row>
    <row r="21" spans="1:9" ht="18.75" x14ac:dyDescent="0.25">
      <c r="A21" s="182"/>
      <c r="B21" s="183"/>
      <c r="C21" s="183"/>
      <c r="D21" s="183"/>
      <c r="E21" s="183"/>
      <c r="F21" s="183"/>
      <c r="G21" s="183"/>
      <c r="H21" s="183"/>
      <c r="I21" s="184"/>
    </row>
    <row r="22" spans="1:9" ht="18.75" x14ac:dyDescent="0.25">
      <c r="A22" s="93"/>
      <c r="B22" s="94"/>
      <c r="C22" s="93"/>
      <c r="D22" s="93"/>
      <c r="E22" s="93"/>
      <c r="F22" s="93"/>
      <c r="G22" s="93"/>
      <c r="H22" s="93"/>
      <c r="I22" s="93"/>
    </row>
    <row r="23" spans="1:9" ht="18.75" x14ac:dyDescent="0.25">
      <c r="A23" s="93"/>
      <c r="B23" s="94"/>
      <c r="C23" s="93"/>
      <c r="D23" s="93"/>
      <c r="E23" s="93"/>
      <c r="F23" s="93"/>
      <c r="G23" s="93"/>
      <c r="H23" s="93"/>
      <c r="I23" s="93"/>
    </row>
    <row r="24" spans="1:9" ht="18.75" x14ac:dyDescent="0.25">
      <c r="A24" s="93"/>
      <c r="B24" s="94"/>
      <c r="C24" s="93"/>
      <c r="D24" s="93"/>
      <c r="E24" s="93"/>
      <c r="F24" s="93"/>
      <c r="G24" s="93"/>
      <c r="H24" s="93"/>
      <c r="I24" s="93"/>
    </row>
    <row r="25" spans="1:9" ht="18.75" x14ac:dyDescent="0.25">
      <c r="A25" s="182"/>
      <c r="B25" s="183"/>
      <c r="C25" s="183"/>
      <c r="D25" s="183"/>
      <c r="E25" s="183"/>
      <c r="F25" s="183"/>
      <c r="G25" s="183"/>
      <c r="H25" s="183"/>
      <c r="I25" s="184"/>
    </row>
    <row r="26" spans="1:9" ht="18.75" x14ac:dyDescent="0.25">
      <c r="A26" s="93"/>
      <c r="B26" s="94"/>
      <c r="C26" s="93"/>
      <c r="D26" s="93"/>
      <c r="E26" s="93"/>
      <c r="F26" s="93"/>
      <c r="G26" s="93"/>
      <c r="H26" s="93"/>
      <c r="I26" s="93"/>
    </row>
    <row r="27" spans="1:9" ht="18.75" x14ac:dyDescent="0.25">
      <c r="A27" s="182"/>
      <c r="B27" s="183"/>
      <c r="C27" s="183"/>
      <c r="D27" s="183"/>
      <c r="E27" s="183"/>
      <c r="F27" s="183"/>
      <c r="G27" s="183"/>
      <c r="H27" s="183"/>
      <c r="I27" s="184"/>
    </row>
    <row r="28" spans="1:9" ht="18.75" x14ac:dyDescent="0.25">
      <c r="A28" s="93"/>
      <c r="B28" s="94"/>
      <c r="C28" s="93"/>
      <c r="D28" s="93"/>
      <c r="E28" s="93"/>
      <c r="F28" s="93"/>
      <c r="G28" s="93"/>
      <c r="H28" s="93"/>
      <c r="I28" s="93"/>
    </row>
    <row r="29" spans="1:9" ht="18.75" x14ac:dyDescent="0.25">
      <c r="A29" s="93"/>
      <c r="B29" s="94"/>
      <c r="C29" s="93"/>
      <c r="D29" s="93"/>
      <c r="E29" s="93"/>
      <c r="F29" s="93"/>
      <c r="G29" s="93"/>
      <c r="H29" s="93"/>
      <c r="I29" s="93"/>
    </row>
    <row r="30" spans="1:9" ht="18.75" x14ac:dyDescent="0.25">
      <c r="A30" s="183"/>
      <c r="B30" s="183"/>
      <c r="C30" s="183"/>
      <c r="D30" s="183"/>
      <c r="E30" s="183"/>
      <c r="F30" s="183"/>
      <c r="G30" s="183"/>
      <c r="H30" s="183"/>
      <c r="I30" s="183"/>
    </row>
    <row r="31" spans="1:9" ht="18.75" x14ac:dyDescent="0.25">
      <c r="A31" s="93"/>
      <c r="B31" s="94"/>
      <c r="C31" s="93"/>
      <c r="D31" s="93"/>
      <c r="E31" s="93"/>
      <c r="F31" s="93"/>
      <c r="G31" s="93"/>
      <c r="H31" s="93"/>
      <c r="I31" s="93"/>
    </row>
  </sheetData>
  <mergeCells count="11">
    <mergeCell ref="A17:I17"/>
    <mergeCell ref="A1:I1"/>
    <mergeCell ref="A4:I4"/>
    <mergeCell ref="A7:I7"/>
    <mergeCell ref="A10:I10"/>
    <mergeCell ref="A14:I14"/>
    <mergeCell ref="A19:I19"/>
    <mergeCell ref="A21:I21"/>
    <mergeCell ref="A25:I25"/>
    <mergeCell ref="A27:I27"/>
    <mergeCell ref="A30:I3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2"/>
  <sheetViews>
    <sheetView workbookViewId="0"/>
  </sheetViews>
  <sheetFormatPr defaultRowHeight="15" x14ac:dyDescent="0.25"/>
  <sheetData>
    <row r="1" spans="1:2" x14ac:dyDescent="0.25">
      <c r="A1" t="s" s="0">
        <v>525</v>
      </c>
      <c r="B1" t="s" s="0">
        <v>526</v>
      </c>
    </row>
    <row r="2" spans="1:2" x14ac:dyDescent="0.25">
      <c r="A2" t="s" s="0">
        <v>527</v>
      </c>
      <c r="B2" s="0">
        <v>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Журнал учёта</vt:lpstr>
      <vt:lpstr>БК пооррудийно</vt:lpstr>
      <vt:lpstr>Дижение Групп</vt:lpstr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2015-06-05T18:19:34Z</dcterms:created>
  <dc:creator>Пользователь</dc:creator>
  <cp:lastModifiedBy>Кузьмич</cp:lastModifiedBy>
  <dcterms:modified xsi:type="dcterms:W3CDTF">2026-04-25T05:54:12Z</dcterms:modified>
</cp:coreProperties>
</file>